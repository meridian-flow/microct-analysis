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Yao/Documents/Manuscript/OA uCT quantufication/uCT OA paper revision/uCT dataset/"/>
    </mc:Choice>
  </mc:AlternateContent>
  <xr:revisionPtr revIDLastSave="0" documentId="13_ncr:1_{7F0F6EBF-EF41-6447-9A7C-FFCDCA1AEE63}" xr6:coauthVersionLast="47" xr6:coauthVersionMax="47" xr10:uidLastSave="{00000000-0000-0000-0000-000000000000}"/>
  <bookViews>
    <workbookView xWindow="0" yWindow="760" windowWidth="30240" windowHeight="17640" activeTab="2" xr2:uid="{00000000-000D-0000-FFFF-FFFF00000000}"/>
  </bookViews>
  <sheets>
    <sheet name="Subchond Trabec" sheetId="1" r:id="rId1"/>
    <sheet name="Subchond Plate" sheetId="4" r:id="rId2"/>
    <sheet name="BV-ArticularSurface-GrowthPlate" sheetId="5" r:id="rId3"/>
    <sheet name="MOI" sheetId="6" r:id="rId4"/>
  </sheets>
  <definedNames>
    <definedName name="_C0012831_3DRESULTS_BONE_MORPHO" localSheetId="2">'BV-ArticularSurface-GrowthPlate'!$A$4:$BD$4</definedName>
    <definedName name="_C0014422_3DRESULTS_BONE_MORPHO" localSheetId="0">'Subchond Trabec'!#REF!</definedName>
    <definedName name="_C0014422_3DRESULTS_MIDSHAFT" localSheetId="1">'Subchond Plate'!#REF!</definedName>
    <definedName name="_C0014423_3DRESULTS_BV_ONLY" localSheetId="2">'BV-ArticularSurface-GrowthPlate'!#REF!</definedName>
    <definedName name="_C0014424_3DRESULTS_BONE_MORPHO" localSheetId="0">'Subchond Trabec'!#REF!</definedName>
    <definedName name="_C0014424_3DRESULTS_BV_ONLY" localSheetId="2">'BV-ArticularSurface-GrowthPlate'!#REF!</definedName>
    <definedName name="_C0014424_3DRESULTS_MIDSHAFT" localSheetId="1">'Subchond Plate'!#REF!</definedName>
    <definedName name="_C0015087_3DRESULTS_BONE_MORPHO" localSheetId="0">'Subchond Trabec'!#REF!</definedName>
    <definedName name="_C0015165_3DRESULTS_BV_ONLY" localSheetId="2">'BV-ArticularSurface-GrowthPlate'!#REF!</definedName>
    <definedName name="_C0015166_3DRESULTS_BONE_MORPHO" localSheetId="0">'Subchond Trabec'!#REF!</definedName>
    <definedName name="_C0015481_3DRESULTS_BONE_MORPHO" localSheetId="0">'Subchond Trabec'!#REF!</definedName>
    <definedName name="_C0015481_3DRESULTS_MIDSHAFT" localSheetId="1">'Subchond Plate'!#REF!</definedName>
    <definedName name="_C0015481_MOIRESULTS_MIDSHAFT" localSheetId="3">MOI!$A$5:$AA$5</definedName>
    <definedName name="_C0015579_3DRESULTS_BONE_MORPHO" localSheetId="0">'Subchond Trabec'!#REF!</definedName>
    <definedName name="_C0015579_3DRESULTS_MIDSHAFT" localSheetId="1">'Subchond Plate'!#REF!</definedName>
    <definedName name="_C0015579_MOIRESULTS_MIDSHAFT" localSheetId="3">MOI!#REF!</definedName>
    <definedName name="C0017027_3DRESULTS_MIDSHAFT" localSheetId="1">'Subchond Plate'!#REF!</definedName>
    <definedName name="C0017027_MOIRESULTS_MIDSHAFT" localSheetId="3">MOI!#REF!</definedName>
    <definedName name="C0017028_3DRESULTS_MIDSHAFT" localSheetId="1">'Subchond Plate'!#REF!</definedName>
    <definedName name="C0017028_MOIRESULTS_MIDSHAFT" localSheetId="3">MOI!#REF!</definedName>
    <definedName name="C0017029_3DRESULTS_MIDSHAFT" localSheetId="1">'Subchond Plate'!#REF!</definedName>
    <definedName name="C0017029_MOIRESULTS_MIDSHAFT" localSheetId="3">MOI!#REF!</definedName>
    <definedName name="C0017030_3DRESULTS_MIDSHAFT" localSheetId="1">'Subchond Plate'!#REF!</definedName>
    <definedName name="C0017030_MOIRESULTS_MIDSHAFT" localSheetId="3">MOI!#REF!</definedName>
    <definedName name="C0017031_3DRESULTS_MIDSHAFT" localSheetId="1">'Subchond Plate'!#REF!</definedName>
    <definedName name="C0017031_MOIRESULTS_MIDSHAFT" localSheetId="3">MOI!#REF!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I103" i="4" l="1"/>
  <c r="CI102" i="4"/>
  <c r="CI101" i="4"/>
  <c r="CI100" i="4"/>
  <c r="CI99" i="4"/>
  <c r="CI98" i="4"/>
  <c r="BG66" i="5"/>
  <c r="AV140" i="4" l="1"/>
  <c r="AW138" i="4"/>
  <c r="AW137" i="4"/>
  <c r="AW136" i="4"/>
  <c r="AW135" i="4"/>
  <c r="AW134" i="4"/>
  <c r="AW133" i="4"/>
  <c r="AW132" i="4"/>
  <c r="AW131" i="4"/>
  <c r="AW130" i="4"/>
  <c r="AW129" i="4"/>
  <c r="AW128" i="4"/>
  <c r="AW127" i="4"/>
  <c r="AW126" i="4"/>
  <c r="AW125" i="4"/>
  <c r="AW124" i="4"/>
  <c r="AW123" i="4"/>
  <c r="BG26" i="5"/>
  <c r="AT102" i="1"/>
  <c r="AT101" i="1"/>
  <c r="AT100" i="1"/>
  <c r="AT99" i="1"/>
  <c r="AT98" i="1"/>
  <c r="AT97" i="1"/>
  <c r="AT75" i="1"/>
  <c r="AT74" i="1"/>
  <c r="AT73" i="1"/>
  <c r="AT72" i="1"/>
  <c r="AT71" i="1"/>
  <c r="AT70" i="1"/>
  <c r="AT43" i="1"/>
  <c r="AT42" i="1"/>
  <c r="AT41" i="1"/>
  <c r="AT40" i="1"/>
  <c r="AT39" i="1"/>
  <c r="AT38" i="1"/>
  <c r="AT13" i="1"/>
  <c r="AT12" i="1"/>
  <c r="AT11" i="1"/>
  <c r="AT10" i="1"/>
  <c r="AT9" i="1"/>
  <c r="AT8" i="1"/>
  <c r="AT110" i="1"/>
  <c r="AT109" i="1"/>
  <c r="AT108" i="1"/>
  <c r="AT107" i="1"/>
  <c r="AT106" i="1"/>
  <c r="AT105" i="1"/>
  <c r="AT82" i="1"/>
  <c r="AT81" i="1"/>
  <c r="AT80" i="1"/>
  <c r="AT79" i="1"/>
  <c r="AT78" i="1"/>
  <c r="AT77" i="1"/>
  <c r="AT51" i="1"/>
  <c r="AT50" i="1"/>
  <c r="AT49" i="1"/>
  <c r="AT48" i="1"/>
  <c r="AT47" i="1"/>
  <c r="AT46" i="1"/>
  <c r="AT20" i="1"/>
  <c r="AT19" i="1"/>
  <c r="AT18" i="1"/>
  <c r="AT17" i="1"/>
  <c r="AT16" i="1"/>
  <c r="AT15" i="1"/>
  <c r="AT161" i="1"/>
  <c r="AT160" i="1"/>
  <c r="AT159" i="1"/>
  <c r="AT158" i="1"/>
  <c r="AT157" i="1"/>
  <c r="AT156" i="1"/>
  <c r="AT155" i="1"/>
  <c r="AT154" i="1"/>
  <c r="AT152" i="1"/>
  <c r="AT151" i="1"/>
  <c r="AT150" i="1"/>
  <c r="AT149" i="1"/>
  <c r="AT148" i="1"/>
  <c r="AT147" i="1"/>
  <c r="AT146" i="1"/>
  <c r="AT145" i="1"/>
  <c r="AT140" i="1"/>
  <c r="AT139" i="1"/>
  <c r="AT138" i="1"/>
  <c r="AT137" i="1"/>
  <c r="AT136" i="1"/>
  <c r="AT135" i="1"/>
  <c r="AT134" i="1"/>
  <c r="AT133" i="1"/>
  <c r="AT131" i="1"/>
  <c r="AT130" i="1"/>
  <c r="AT129" i="1"/>
  <c r="AT128" i="1"/>
  <c r="AT127" i="1"/>
  <c r="AT126" i="1"/>
  <c r="AT125" i="1"/>
  <c r="AT124" i="1"/>
  <c r="AT96" i="1"/>
  <c r="AT95" i="1"/>
  <c r="AT94" i="1"/>
  <c r="AT69" i="1"/>
  <c r="AT68" i="1"/>
  <c r="AT67" i="1"/>
  <c r="AT118" i="1"/>
  <c r="AT117" i="1"/>
  <c r="AT116" i="1"/>
  <c r="AT115" i="1"/>
  <c r="AT114" i="1"/>
  <c r="AT91" i="1"/>
  <c r="AT90" i="1"/>
  <c r="AT89" i="1"/>
  <c r="AT88" i="1"/>
  <c r="AT87" i="1"/>
  <c r="AT86" i="1"/>
  <c r="AT85" i="1"/>
  <c r="AT37" i="1"/>
  <c r="AT36" i="1"/>
  <c r="AT35" i="1"/>
  <c r="AT7" i="1"/>
  <c r="AT6" i="1"/>
  <c r="AT5" i="1"/>
  <c r="AT59" i="1"/>
  <c r="AT58" i="1"/>
  <c r="AT57" i="1"/>
  <c r="AT56" i="1"/>
  <c r="AT55" i="1"/>
  <c r="AT30" i="1"/>
  <c r="AT29" i="1"/>
  <c r="AT28" i="1"/>
  <c r="AT27" i="1"/>
  <c r="AT26" i="1"/>
  <c r="AT25" i="1"/>
  <c r="AQ102" i="1"/>
  <c r="AQ101" i="1"/>
  <c r="AQ100" i="1"/>
  <c r="AQ99" i="1"/>
  <c r="AQ98" i="1"/>
  <c r="AQ97" i="1"/>
  <c r="AQ75" i="1"/>
  <c r="AQ74" i="1"/>
  <c r="AQ73" i="1"/>
  <c r="AQ72" i="1"/>
  <c r="AQ71" i="1"/>
  <c r="AQ70" i="1"/>
  <c r="AQ43" i="1"/>
  <c r="AQ42" i="1"/>
  <c r="AQ41" i="1"/>
  <c r="AQ40" i="1"/>
  <c r="AQ39" i="1"/>
  <c r="AQ38" i="1"/>
  <c r="AQ13" i="1"/>
  <c r="AQ12" i="1"/>
  <c r="AQ11" i="1"/>
  <c r="AQ10" i="1"/>
  <c r="AQ9" i="1"/>
  <c r="AQ8" i="1"/>
  <c r="AQ80" i="1"/>
  <c r="AQ81" i="1"/>
  <c r="AQ82" i="1"/>
  <c r="AQ105" i="1"/>
  <c r="AQ106" i="1"/>
  <c r="AQ107" i="1"/>
  <c r="AQ108" i="1"/>
  <c r="AQ109" i="1"/>
  <c r="AQ110" i="1"/>
  <c r="AQ79" i="1"/>
  <c r="AQ78" i="1"/>
  <c r="AQ77" i="1"/>
  <c r="AQ51" i="1"/>
  <c r="AQ50" i="1"/>
  <c r="AQ49" i="1"/>
  <c r="AQ48" i="1"/>
  <c r="AQ47" i="1"/>
  <c r="AQ46" i="1"/>
  <c r="AQ20" i="1"/>
  <c r="AQ19" i="1"/>
  <c r="AQ18" i="1"/>
  <c r="AQ17" i="1"/>
  <c r="AQ16" i="1"/>
  <c r="AQ15" i="1"/>
  <c r="AQ154" i="1"/>
  <c r="AQ155" i="1"/>
  <c r="AQ156" i="1"/>
  <c r="AQ157" i="1"/>
  <c r="AQ158" i="1"/>
  <c r="AQ159" i="1"/>
  <c r="AQ160" i="1"/>
  <c r="AQ161" i="1"/>
  <c r="AQ152" i="1"/>
  <c r="AQ151" i="1"/>
  <c r="AQ150" i="1"/>
  <c r="AQ149" i="1"/>
  <c r="AQ148" i="1"/>
  <c r="AQ147" i="1"/>
  <c r="AQ146" i="1"/>
  <c r="AQ145" i="1"/>
  <c r="AQ134" i="1"/>
  <c r="AQ135" i="1"/>
  <c r="AQ136" i="1"/>
  <c r="AQ137" i="1"/>
  <c r="AQ138" i="1"/>
  <c r="AQ139" i="1"/>
  <c r="AQ140" i="1"/>
  <c r="AQ133" i="1"/>
  <c r="AQ125" i="1"/>
  <c r="AQ126" i="1"/>
  <c r="AQ127" i="1"/>
  <c r="AQ128" i="1"/>
  <c r="AQ129" i="1"/>
  <c r="AQ130" i="1"/>
  <c r="AQ131" i="1"/>
  <c r="AQ124" i="1"/>
  <c r="AQ96" i="1"/>
  <c r="AQ95" i="1"/>
  <c r="AQ94" i="1"/>
  <c r="AQ69" i="1"/>
  <c r="AQ68" i="1"/>
  <c r="AQ67" i="1"/>
  <c r="AQ118" i="1"/>
  <c r="AQ117" i="1"/>
  <c r="AQ116" i="1"/>
  <c r="AQ115" i="1"/>
  <c r="AQ114" i="1"/>
  <c r="AQ91" i="1"/>
  <c r="AQ90" i="1"/>
  <c r="AQ89" i="1"/>
  <c r="AQ88" i="1"/>
  <c r="AQ87" i="1"/>
  <c r="AQ86" i="1"/>
  <c r="AQ85" i="1"/>
  <c r="AQ59" i="1"/>
  <c r="AQ5" i="1"/>
  <c r="AQ6" i="1"/>
  <c r="AQ7" i="1"/>
  <c r="AQ35" i="1"/>
  <c r="AQ36" i="1"/>
  <c r="AQ37" i="1"/>
  <c r="AQ25" i="1"/>
  <c r="AQ26" i="1"/>
  <c r="AQ27" i="1"/>
  <c r="AQ28" i="1"/>
  <c r="AQ29" i="1"/>
  <c r="AQ30" i="1"/>
  <c r="AQ55" i="1"/>
  <c r="AQ56" i="1"/>
  <c r="AQ57" i="1"/>
  <c r="AQ58" i="1"/>
  <c r="AQ112" i="1" l="1"/>
  <c r="AT121" i="1"/>
  <c r="AT120" i="1"/>
  <c r="AT112" i="1"/>
  <c r="AQ121" i="1"/>
  <c r="AQ120" i="1"/>
  <c r="AT53" i="1"/>
  <c r="AT62" i="1"/>
  <c r="AT61" i="1"/>
  <c r="AT22" i="1"/>
  <c r="AT33" i="1"/>
  <c r="AQ53" i="1"/>
  <c r="AT32" i="1"/>
  <c r="AQ61" i="1"/>
  <c r="AQ62" i="1"/>
  <c r="AQ32" i="1"/>
  <c r="AQ33" i="1"/>
  <c r="AQ22" i="1"/>
  <c r="AQ163" i="1"/>
  <c r="AT163" i="1"/>
  <c r="AW140" i="4"/>
  <c r="BG23" i="5"/>
  <c r="BG24" i="5"/>
  <c r="BG25" i="5"/>
  <c r="BG27" i="5"/>
  <c r="BG28" i="5"/>
  <c r="BG52" i="5"/>
  <c r="BG53" i="5"/>
  <c r="BG54" i="5"/>
  <c r="BG55" i="5"/>
  <c r="BG56" i="5"/>
  <c r="BG5" i="5"/>
  <c r="BG6" i="5"/>
  <c r="BG7" i="5"/>
  <c r="BG31" i="5"/>
  <c r="BG32" i="5"/>
  <c r="BG33" i="5"/>
  <c r="BG67" i="5"/>
  <c r="BG68" i="5"/>
  <c r="BG69" i="5"/>
  <c r="BG70" i="5"/>
  <c r="BG71" i="5"/>
  <c r="BG72" i="5"/>
  <c r="BG73" i="5"/>
  <c r="BG76" i="5"/>
  <c r="BG77" i="5"/>
  <c r="BG78" i="5"/>
  <c r="BG79" i="5"/>
  <c r="BG80" i="5"/>
  <c r="BG81" i="5"/>
  <c r="BG82" i="5"/>
  <c r="BG83" i="5"/>
  <c r="BG15" i="5"/>
  <c r="BG16" i="5"/>
  <c r="BG17" i="5"/>
  <c r="BG18" i="5"/>
  <c r="BG19" i="5"/>
  <c r="BG20" i="5"/>
  <c r="BG43" i="5"/>
  <c r="BG44" i="5"/>
  <c r="BG45" i="5"/>
  <c r="BG46" i="5"/>
  <c r="BG47" i="5"/>
  <c r="BG48" i="5"/>
  <c r="BG8" i="5"/>
  <c r="BG9" i="5"/>
  <c r="BG10" i="5"/>
  <c r="BG11" i="5"/>
  <c r="BG12" i="5"/>
  <c r="BG13" i="5"/>
  <c r="BG34" i="5"/>
  <c r="BG35" i="5"/>
  <c r="BG36" i="5"/>
  <c r="BG37" i="5"/>
  <c r="BG38" i="5"/>
  <c r="BG39" i="5"/>
  <c r="BG22" i="5"/>
  <c r="CI83" i="4"/>
  <c r="CI24" i="4"/>
  <c r="CI84" i="4"/>
  <c r="CI25" i="4"/>
  <c r="CI85" i="4"/>
  <c r="CI26" i="4"/>
  <c r="CI86" i="4"/>
  <c r="CI27" i="4"/>
  <c r="CI87" i="4"/>
  <c r="CI28" i="4"/>
  <c r="CI88" i="4"/>
  <c r="CI29" i="4"/>
  <c r="CI89" i="4"/>
  <c r="CI52" i="4"/>
  <c r="CI115" i="4"/>
  <c r="CI53" i="4"/>
  <c r="CI116" i="4"/>
  <c r="CI54" i="4"/>
  <c r="CI117" i="4"/>
  <c r="CI55" i="4"/>
  <c r="CI118" i="4"/>
  <c r="CI56" i="4"/>
  <c r="CI119" i="4"/>
  <c r="CI5" i="4"/>
  <c r="CI63" i="4"/>
  <c r="CI6" i="4"/>
  <c r="CI64" i="4"/>
  <c r="CI7" i="4"/>
  <c r="CI65" i="4"/>
  <c r="CI32" i="4"/>
  <c r="CI95" i="4"/>
  <c r="CI33" i="4"/>
  <c r="CI96" i="4"/>
  <c r="CI34" i="4"/>
  <c r="CI97" i="4"/>
  <c r="CI123" i="4"/>
  <c r="CI142" i="4"/>
  <c r="CI124" i="4"/>
  <c r="CI143" i="4"/>
  <c r="CI125" i="4"/>
  <c r="CI144" i="4"/>
  <c r="CI126" i="4"/>
  <c r="CI145" i="4"/>
  <c r="CI127" i="4"/>
  <c r="CI146" i="4"/>
  <c r="CI128" i="4"/>
  <c r="CI147" i="4"/>
  <c r="CI129" i="4"/>
  <c r="CI148" i="4"/>
  <c r="CI130" i="4"/>
  <c r="CI149" i="4"/>
  <c r="CI131" i="4"/>
  <c r="CI150" i="4"/>
  <c r="CI132" i="4"/>
  <c r="CI151" i="4"/>
  <c r="CI133" i="4"/>
  <c r="CI152" i="4"/>
  <c r="CI134" i="4"/>
  <c r="CI153" i="4"/>
  <c r="CI135" i="4"/>
  <c r="CI154" i="4"/>
  <c r="CI136" i="4"/>
  <c r="CI155" i="4"/>
  <c r="CI137" i="4"/>
  <c r="CI156" i="4"/>
  <c r="CI138" i="4"/>
  <c r="CI157" i="4"/>
  <c r="CI15" i="4"/>
  <c r="CI16" i="4"/>
  <c r="CI17" i="4"/>
  <c r="CI18" i="4"/>
  <c r="CI19" i="4"/>
  <c r="CI20" i="4"/>
  <c r="CI43" i="4"/>
  <c r="CI44" i="4"/>
  <c r="CI74" i="4"/>
  <c r="CI75" i="4"/>
  <c r="CI76" i="4"/>
  <c r="CI77" i="4"/>
  <c r="CI78" i="4"/>
  <c r="CI79" i="4"/>
  <c r="CI106" i="4"/>
  <c r="CI107" i="4"/>
  <c r="CI45" i="4"/>
  <c r="CI46" i="4"/>
  <c r="CI47" i="4"/>
  <c r="CI48" i="4"/>
  <c r="CI8" i="4"/>
  <c r="CI9" i="4"/>
  <c r="CI10" i="4"/>
  <c r="CI11" i="4"/>
  <c r="CI108" i="4"/>
  <c r="CI109" i="4"/>
  <c r="CI110" i="4"/>
  <c r="CI111" i="4"/>
  <c r="CI66" i="4"/>
  <c r="CI67" i="4"/>
  <c r="CI68" i="4"/>
  <c r="CI69" i="4"/>
  <c r="CI12" i="4"/>
  <c r="CI13" i="4"/>
  <c r="CI35" i="4"/>
  <c r="CI36" i="4"/>
  <c r="CI37" i="4"/>
  <c r="CI38" i="4"/>
  <c r="CI39" i="4"/>
  <c r="CI40" i="4"/>
  <c r="CI70" i="4"/>
  <c r="CI71" i="4"/>
  <c r="CI23" i="4"/>
  <c r="CI92" i="4" l="1"/>
  <c r="CI91" i="4"/>
  <c r="CI81" i="4"/>
  <c r="CI50" i="4"/>
  <c r="CI59" i="4"/>
  <c r="CI58" i="4"/>
  <c r="CI159" i="4"/>
  <c r="CI140" i="4"/>
  <c r="CJ150" i="4"/>
  <c r="CJ13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0012831_3DRESULTS_BONE_MORPHO" type="6" refreshedVersion="6" background="1" saveData="1">
    <textPr codePage="437" sourceFile="C:\Users\Michael J. Thullen\Documents\Work_data\From_MAY_2009\Avionna_Baldwin\TAILS_031618\C0012831_3DRESULTS_BONE_MORPHO.txt">
      <textFields count="7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C0015481_MOIRESULTS_MIDSHAFT" type="6" refreshedVersion="6" background="1" saveData="1">
    <textPr codePage="437" sourceFile="D:\From_MAY_2009\RUBENS_SAUTCHUK\102720_2\C0015481_MOIRESULTS_MIDSHAFT.txt">
      <textFields count="3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ABF05EBF-6C16-4079-99AC-2F7DC564267A}" keepAlive="1" name="Query - BV" description="Connection to the 'BV' query in the workbook." type="5" refreshedVersion="0" background="1">
    <dbPr connection="Provider=Microsoft.Mashup.OleDb.1;Data Source=$Workbook$;Location=BV;Extended Properties=&quot;&quot;" command="SELECT * FROM [BV]"/>
  </connection>
  <connection id="4" xr16:uid="{7B4A6AAD-8680-4FC0-88F5-82C6226A17FA}" keepAlive="1" name="Query - Cort" description="Connection to the 'Cort' query in the workbook." type="5" refreshedVersion="0" background="1">
    <dbPr connection="Provider=Microsoft.Mashup.OleDb.1;Data Source=$Workbook$;Location=Cort;Extended Properties=&quot;&quot;" command="SELECT * FROM [Cort]"/>
  </connection>
  <connection id="5" xr16:uid="{EA213FF7-3540-4CC7-950A-261D542D7DD7}" keepAlive="1" name="Query - Morpho" description="Connection to the 'Morpho' query in the workbook." type="5" refreshedVersion="8" background="1" saveData="1">
    <dbPr connection="Provider=Microsoft.Mashup.OleDb.1;Data Source=$Workbook$;Location=Morpho;Extended Properties=&quot;&quot;" command="SELECT * FROM [Morpho]"/>
  </connection>
  <connection id="6" xr16:uid="{41BAD2D5-91F3-4F0E-806C-5DF30ACCA457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7" xr16:uid="{77F25065-B1B5-4203-A670-07D8741E1342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8" xr16:uid="{7E4B0B46-F4ED-4B02-B075-C9035E3BD372}" keepAlive="1" name="Query - Parameter3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9" xr16:uid="{ADACDD67-61AE-4F70-8C7F-7E4B9CD62F2F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0" xr16:uid="{14DFD734-2387-4D18-A62C-69A23906F56A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11" xr16:uid="{2100E303-42D0-486B-9A61-A58CA94639E2}" keepAlive="1" name="Query - Sample File (3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12" xr16:uid="{49C61BC3-4378-4259-BF03-69D76A2059B4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3" xr16:uid="{BD9610BF-B7EA-40BF-A381-36A511DA4ABC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14" xr16:uid="{89821D87-B721-41FB-A66C-4EB64917EBAF}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15" xr16:uid="{544603C0-9BD4-40AC-969A-9C95E4B2330D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6" xr16:uid="{4316FEF7-52F2-4D71-B8CF-CCDF7FA7AC2D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17" xr16:uid="{63C0717C-30A0-43A0-8AD4-FCCC01DF0AAD}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</connections>
</file>

<file path=xl/sharedStrings.xml><?xml version="1.0" encoding="utf-8"?>
<sst xmlns="http://schemas.openxmlformats.org/spreadsheetml/2006/main" count="15741" uniqueCount="4737">
  <si>
    <t>SampName</t>
  </si>
  <si>
    <t>MeasNo</t>
  </si>
  <si>
    <t>MeasDate</t>
  </si>
  <si>
    <t>ListDate</t>
  </si>
  <si>
    <t>Filename</t>
  </si>
  <si>
    <t>S-DOB</t>
  </si>
  <si>
    <t>S-Remark</t>
  </si>
  <si>
    <t>Meas-Rmk</t>
  </si>
  <si>
    <t>Site</t>
  </si>
  <si>
    <t>Energy-I-Code</t>
  </si>
  <si>
    <t>ControlfileNo</t>
  </si>
  <si>
    <t>Ctrlf-Name</t>
  </si>
  <si>
    <t>Sigma</t>
  </si>
  <si>
    <t>Support</t>
  </si>
  <si>
    <t>Threshold</t>
  </si>
  <si>
    <t>Unit</t>
  </si>
  <si>
    <t>Data-Threshold</t>
  </si>
  <si>
    <t>VOX-BV/TV</t>
  </si>
  <si>
    <t>TRI-SMI</t>
  </si>
  <si>
    <t>DT-Tb.(1/N).SD</t>
  </si>
  <si>
    <t>DT-Tb.Th.SD</t>
  </si>
  <si>
    <t>DT-Tb.Sp.SD</t>
  </si>
  <si>
    <t>Mean1</t>
  </si>
  <si>
    <t>Mean2</t>
  </si>
  <si>
    <t>Mean3</t>
  </si>
  <si>
    <t>Mean4</t>
  </si>
  <si>
    <t>Mean5</t>
  </si>
  <si>
    <t>Mean-Units</t>
  </si>
  <si>
    <t>TRI-BV/TV</t>
  </si>
  <si>
    <t>TRI-DA</t>
  </si>
  <si>
    <t>TRI-|H1|</t>
  </si>
  <si>
    <t>TRI-|H2|</t>
  </si>
  <si>
    <t>TRI-|H3|</t>
  </si>
  <si>
    <t>TRI-H1x</t>
  </si>
  <si>
    <t>TRI-H1y</t>
  </si>
  <si>
    <t>TRI-H1z</t>
  </si>
  <si>
    <t>TRI-H2x</t>
  </si>
  <si>
    <t>TRI-H2y</t>
  </si>
  <si>
    <t>TRI-H2z</t>
  </si>
  <si>
    <t>TRI-H3x</t>
  </si>
  <si>
    <t>TRI-H3y</t>
  </si>
  <si>
    <t>TRI-H3z</t>
  </si>
  <si>
    <t>MeasNumSlices</t>
  </si>
  <si>
    <t>OperatorMeas</t>
  </si>
  <si>
    <t>OperatorEval</t>
  </si>
  <si>
    <t>CTDI[mGy]</t>
  </si>
  <si>
    <t>RAW-Dir</t>
  </si>
  <si>
    <t>RAW-Label</t>
  </si>
  <si>
    <t>IMA-Dir</t>
  </si>
  <si>
    <t>IMA-Label</t>
  </si>
  <si>
    <t>ScannerID</t>
  </si>
  <si>
    <t>Region</t>
  </si>
  <si>
    <t>Integr.Time(msec)</t>
  </si>
  <si>
    <r>
      <t>VOX-TV(mm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</si>
  <si>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t>VOX-BV(mm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</si>
  <si>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t>Conn-Dens.(1/mm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</si>
  <si>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DT-Tb.N (1/mm)</t>
  </si>
  <si>
    <t>DT-Tb.Th (mm)</t>
  </si>
  <si>
    <t>DT-Tb.Sp (mm)</t>
  </si>
  <si>
    <r>
      <t>TRI-TV (mm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</si>
  <si>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t>TRI-BV (mm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</si>
  <si>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t>TRI-BS (mm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</si>
  <si>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TRI-BS/BV (1/mm)</t>
  </si>
  <si>
    <t>TRI-Tb.N (1/mm)</t>
  </si>
  <si>
    <t>TRI-Tb.Th (mm)</t>
  </si>
  <si>
    <t>TRI-Tb.Sp (mm)</t>
  </si>
  <si>
    <t>El-Siz-X (mm)</t>
  </si>
  <si>
    <t>El-Siz-Y (mm)</t>
  </si>
  <si>
    <t>El-Siz-Z (mm)</t>
  </si>
  <si>
    <t>Dim-X (pixels)</t>
  </si>
  <si>
    <t>Dim-Y (pixels)</t>
  </si>
  <si>
    <t>Dim-Z (pixels, slices)</t>
  </si>
  <si>
    <t>Pos-X (pixels)</t>
  </si>
  <si>
    <t>Pos-Y (pixels)</t>
  </si>
  <si>
    <t>Pos-Z (pixels, slices)</t>
  </si>
  <si>
    <t>Analysis Data</t>
  </si>
  <si>
    <t>Use these values, except in special cases</t>
  </si>
  <si>
    <t>Density</t>
  </si>
  <si>
    <t>Use these values for area</t>
  </si>
  <si>
    <t>Pixel size/resolution</t>
  </si>
  <si>
    <t>Size of region of interest</t>
  </si>
  <si>
    <t>Start position of region of interest</t>
  </si>
  <si>
    <t>Cortical</t>
  </si>
  <si>
    <t>thickness (mm)</t>
  </si>
  <si>
    <t xml:space="preserve">M-No      </t>
  </si>
  <si>
    <t xml:space="preserve">ListDate          </t>
  </si>
  <si>
    <t xml:space="preserve">Segmentation          </t>
  </si>
  <si>
    <t xml:space="preserve">El_size_mm            </t>
  </si>
  <si>
    <t xml:space="preserve">   CMx[mm]</t>
  </si>
  <si>
    <t xml:space="preserve">   CMy[mm]</t>
  </si>
  <si>
    <t xml:space="preserve"> Ixx[mm^4]</t>
  </si>
  <si>
    <t xml:space="preserve"> Iyy[mm^4]</t>
  </si>
  <si>
    <t xml:space="preserve"> Ixy[mm^4]</t>
  </si>
  <si>
    <t>pMOI[mm^4]</t>
  </si>
  <si>
    <t>Ixx/Cy[mm^3]</t>
  </si>
  <si>
    <t>Iyy/Cx[mm^3]</t>
  </si>
  <si>
    <t>Imax[mm^4]</t>
  </si>
  <si>
    <t>Imin[mm^4]</t>
  </si>
  <si>
    <t>Angle[deg]</t>
  </si>
  <si>
    <t>Imax/Cmax[mm^3]</t>
  </si>
  <si>
    <t>Imin/Cmin[mm^3]</t>
  </si>
  <si>
    <t>BArea[mm^2]</t>
  </si>
  <si>
    <t>TArea[mm^2]</t>
  </si>
  <si>
    <t xml:space="preserve">  BA/TA[1]</t>
  </si>
  <si>
    <t>TRI-Ct.Th</t>
  </si>
  <si>
    <t xml:space="preserve">    Mean1</t>
  </si>
  <si>
    <t xml:space="preserve">  Mean1SD</t>
  </si>
  <si>
    <t xml:space="preserve">    Mean2</t>
  </si>
  <si>
    <t xml:space="preserve">  Mean2SD</t>
  </si>
  <si>
    <t>Mineralization</t>
  </si>
  <si>
    <t>A00OA601</t>
  </si>
  <si>
    <t/>
  </si>
  <si>
    <t>Custom</t>
  </si>
  <si>
    <t>-</t>
  </si>
  <si>
    <t xml:space="preserve">      0.80</t>
  </si>
  <si>
    <t xml:space="preserve">         1</t>
  </si>
  <si>
    <t xml:space="preserve">       270</t>
  </si>
  <si>
    <t xml:space="preserve">         6</t>
  </si>
  <si>
    <t xml:space="preserve">  8847.000</t>
  </si>
  <si>
    <t xml:space="preserve">    0.3800</t>
  </si>
  <si>
    <t xml:space="preserve">    0.0453</t>
  </si>
  <si>
    <t xml:space="preserve">    0.1193</t>
  </si>
  <si>
    <t xml:space="preserve">   39.4724</t>
  </si>
  <si>
    <t xml:space="preserve">    2.2262</t>
  </si>
  <si>
    <t xml:space="preserve">    2.8949</t>
  </si>
  <si>
    <t xml:space="preserve">    0.0623</t>
  </si>
  <si>
    <t xml:space="preserve">    0.3750</t>
  </si>
  <si>
    <t xml:space="preserve">    0.1300</t>
  </si>
  <si>
    <t xml:space="preserve">    0.0309</t>
  </si>
  <si>
    <t xml:space="preserve">    0.1219</t>
  </si>
  <si>
    <t>~  960.233</t>
  </si>
  <si>
    <t>[mg HA/ccm]</t>
  </si>
  <si>
    <t xml:space="preserve">    0.0405</t>
  </si>
  <si>
    <t xml:space="preserve">    0.1132</t>
  </si>
  <si>
    <t xml:space="preserve">    1.8448</t>
  </si>
  <si>
    <t xml:space="preserve">   45.5465</t>
  </si>
  <si>
    <t xml:space="preserve">    2.5770</t>
  </si>
  <si>
    <t xml:space="preserve">    0.0439</t>
  </si>
  <si>
    <t xml:space="preserve">    0.3441</t>
  </si>
  <si>
    <t xml:space="preserve">    1.8925</t>
  </si>
  <si>
    <t xml:space="preserve">    0.2784</t>
  </si>
  <si>
    <t xml:space="preserve">    0.5269</t>
  </si>
  <si>
    <t xml:space="preserve">    0.4901</t>
  </si>
  <si>
    <t xml:space="preserve">    0.0265</t>
  </si>
  <si>
    <t xml:space="preserve">    0.0449</t>
  </si>
  <si>
    <t xml:space="preserve">    0.2735</t>
  </si>
  <si>
    <t xml:space="preserve">    0.2608</t>
  </si>
  <si>
    <t xml:space="preserve">   -0.4552</t>
  </si>
  <si>
    <t xml:space="preserve">    0.0495</t>
  </si>
  <si>
    <t xml:space="preserve">    0.4233</t>
  </si>
  <si>
    <t xml:space="preserve">    0.2339</t>
  </si>
  <si>
    <t xml:space="preserve">   -0.0794</t>
  </si>
  <si>
    <t xml:space="preserve">    0.0105</t>
  </si>
  <si>
    <t>Lindsay Schnur</t>
  </si>
  <si>
    <t>DK0:[MICROCT.DATA.00000700.00018033]</t>
  </si>
  <si>
    <t xml:space="preserve">    0.7529</t>
  </si>
  <si>
    <t xml:space="preserve">    0.1961</t>
  </si>
  <si>
    <t xml:space="preserve">    0.2604</t>
  </si>
  <si>
    <t xml:space="preserve">  109.5705</t>
  </si>
  <si>
    <t xml:space="preserve">    1.0546</t>
  </si>
  <si>
    <t xml:space="preserve">    4.0346</t>
  </si>
  <si>
    <t xml:space="preserve">    0.0859</t>
  </si>
  <si>
    <t xml:space="preserve">    0.2617</t>
  </si>
  <si>
    <t xml:space="preserve">    0.1164</t>
  </si>
  <si>
    <t xml:space="preserve">    0.0342</t>
  </si>
  <si>
    <t xml:space="preserve">    0.1081</t>
  </si>
  <si>
    <t xml:space="preserve">  997.6671</t>
  </si>
  <si>
    <t xml:space="preserve">    0.7106</t>
  </si>
  <si>
    <t xml:space="preserve">    0.1892</t>
  </si>
  <si>
    <t xml:space="preserve">    6.0613</t>
  </si>
  <si>
    <t xml:space="preserve">   32.0299</t>
  </si>
  <si>
    <t xml:space="preserve">    4.2648</t>
  </si>
  <si>
    <t xml:space="preserve">    0.0624</t>
  </si>
  <si>
    <t xml:space="preserve">    0.1720</t>
  </si>
  <si>
    <t xml:space="preserve">    1.3741</t>
  </si>
  <si>
    <t xml:space="preserve">    0.2011</t>
  </si>
  <si>
    <t xml:space="preserve">    0.2764</t>
  </si>
  <si>
    <t xml:space="preserve">    0.2416</t>
  </si>
  <si>
    <t xml:space="preserve">    0.0097</t>
  </si>
  <si>
    <t xml:space="preserve">   -0.0048</t>
  </si>
  <si>
    <t xml:space="preserve">    0.2008</t>
  </si>
  <si>
    <t xml:space="preserve">    0.2638</t>
  </si>
  <si>
    <t xml:space="preserve">   -0.0811</t>
  </si>
  <si>
    <t xml:space="preserve">   -0.0147</t>
  </si>
  <si>
    <t xml:space="preserve">    0.0711</t>
  </si>
  <si>
    <t xml:space="preserve">    0.2309</t>
  </si>
  <si>
    <t xml:space="preserve">    0.0021</t>
  </si>
  <si>
    <t>A00OA602</t>
  </si>
  <si>
    <t xml:space="preserve">    0.2284</t>
  </si>
  <si>
    <t xml:space="preserve">    0.0252</t>
  </si>
  <si>
    <t xml:space="preserve">    0.1102</t>
  </si>
  <si>
    <t xml:space="preserve">   26.2675</t>
  </si>
  <si>
    <t xml:space="preserve">    2.2779</t>
  </si>
  <si>
    <t xml:space="preserve">    3.2410</t>
  </si>
  <si>
    <t xml:space="preserve">    0.0503</t>
  </si>
  <si>
    <t xml:space="preserve">    0.3131</t>
  </si>
  <si>
    <t xml:space="preserve">    0.1185</t>
  </si>
  <si>
    <t xml:space="preserve">    0.0254</t>
  </si>
  <si>
    <t xml:space="preserve">    0.1151</t>
  </si>
  <si>
    <t>~  968.519</t>
  </si>
  <si>
    <t xml:space="preserve">    0.0214</t>
  </si>
  <si>
    <t xml:space="preserve">    0.1006</t>
  </si>
  <si>
    <t xml:space="preserve">    1.0786</t>
  </si>
  <si>
    <t xml:space="preserve">   50.3018</t>
  </si>
  <si>
    <t xml:space="preserve">    2.5309</t>
  </si>
  <si>
    <t xml:space="preserve">    0.0398</t>
  </si>
  <si>
    <t xml:space="preserve">    0.3554</t>
  </si>
  <si>
    <t xml:space="preserve">    1.5339</t>
  </si>
  <si>
    <t xml:space="preserve">    0.3424</t>
  </si>
  <si>
    <t xml:space="preserve">    0.5253</t>
  </si>
  <si>
    <t xml:space="preserve">    0.3705</t>
  </si>
  <si>
    <t xml:space="preserve">   -0.1931</t>
  </si>
  <si>
    <t xml:space="preserve">   -0.1017</t>
  </si>
  <si>
    <t xml:space="preserve">    0.2639</t>
  </si>
  <si>
    <t xml:space="preserve">   -0.5011</t>
  </si>
  <si>
    <t xml:space="preserve">   -0.1125</t>
  </si>
  <si>
    <t xml:space="preserve">   -0.2959</t>
  </si>
  <si>
    <t xml:space="preserve">   -0.0152</t>
  </si>
  <si>
    <t xml:space="preserve">   -0.2224</t>
  </si>
  <si>
    <t>DK0:[MICROCT.DATA.00000700.00018034]</t>
  </si>
  <si>
    <t xml:space="preserve">    0.6963</t>
  </si>
  <si>
    <t xml:space="preserve">    0.1389</t>
  </si>
  <si>
    <t xml:space="preserve">    0.1995</t>
  </si>
  <si>
    <t xml:space="preserve">  150.0804</t>
  </si>
  <si>
    <t xml:space="preserve">    1.2784</t>
  </si>
  <si>
    <t xml:space="preserve">    3.6640</t>
  </si>
  <si>
    <t xml:space="preserve">    0.0684</t>
  </si>
  <si>
    <t xml:space="preserve">    0.2951</t>
  </si>
  <si>
    <t xml:space="preserve">    0.1391</t>
  </si>
  <si>
    <t xml:space="preserve">    0.0323</t>
  </si>
  <si>
    <t xml:space="preserve">    0.1411</t>
  </si>
  <si>
    <t xml:space="preserve">  976.8785</t>
  </si>
  <si>
    <t xml:space="preserve">    0.6600</t>
  </si>
  <si>
    <t xml:space="preserve">    0.1313</t>
  </si>
  <si>
    <t xml:space="preserve">    0.1990</t>
  </si>
  <si>
    <t xml:space="preserve">    5.4563</t>
  </si>
  <si>
    <t xml:space="preserve">   41.5503</t>
  </si>
  <si>
    <t xml:space="preserve">    4.1336</t>
  </si>
  <si>
    <t xml:space="preserve">    0.0481</t>
  </si>
  <si>
    <t xml:space="preserve">    0.1938</t>
  </si>
  <si>
    <t xml:space="preserve">    1.4608</t>
  </si>
  <si>
    <t xml:space="preserve">    0.2053</t>
  </si>
  <si>
    <t xml:space="preserve">    0.2999</t>
  </si>
  <si>
    <t xml:space="preserve">    0.2433</t>
  </si>
  <si>
    <t xml:space="preserve">   -0.0346</t>
  </si>
  <si>
    <t xml:space="preserve">   -0.0546</t>
  </si>
  <si>
    <t xml:space="preserve">    0.1949</t>
  </si>
  <si>
    <t xml:space="preserve">    0.0028</t>
  </si>
  <si>
    <t xml:space="preserve">   -0.2889</t>
  </si>
  <si>
    <t xml:space="preserve">   -0.0804</t>
  </si>
  <si>
    <t xml:space="preserve">   -0.2398</t>
  </si>
  <si>
    <t xml:space="preserve">    0.0089</t>
  </si>
  <si>
    <t xml:space="preserve">   -0.0401</t>
  </si>
  <si>
    <t>A00OA603</t>
  </si>
  <si>
    <t xml:space="preserve">    0.1975</t>
  </si>
  <si>
    <t xml:space="preserve">    0.0341</t>
  </si>
  <si>
    <t xml:space="preserve">    0.1725</t>
  </si>
  <si>
    <t xml:space="preserve">   73.4356</t>
  </si>
  <si>
    <t xml:space="preserve">    1.8852</t>
  </si>
  <si>
    <t xml:space="preserve">    4.2425</t>
  </si>
  <si>
    <t xml:space="preserve">    0.0555</t>
  </si>
  <si>
    <t xml:space="preserve">    0.2346</t>
  </si>
  <si>
    <t xml:space="preserve">    0.0910</t>
  </si>
  <si>
    <t xml:space="preserve">    0.0243</t>
  </si>
  <si>
    <t xml:space="preserve">    0.0793</t>
  </si>
  <si>
    <t>~  927.960</t>
  </si>
  <si>
    <t xml:space="preserve">    0.0302</t>
  </si>
  <si>
    <t xml:space="preserve">    0.1630</t>
  </si>
  <si>
    <t xml:space="preserve">    1.3633</t>
  </si>
  <si>
    <t xml:space="preserve">   45.2044</t>
  </si>
  <si>
    <t xml:space="preserve">    3.6832</t>
  </si>
  <si>
    <t xml:space="preserve">    0.0442</t>
  </si>
  <si>
    <t xml:space="preserve">    0.2273</t>
  </si>
  <si>
    <t xml:space="preserve">    1.6485</t>
  </si>
  <si>
    <t xml:space="preserve">    0.2247</t>
  </si>
  <si>
    <t xml:space="preserve">    0.3704</t>
  </si>
  <si>
    <t xml:space="preserve">    0.2654</t>
  </si>
  <si>
    <t xml:space="preserve">   -0.1065</t>
  </si>
  <si>
    <t xml:space="preserve">    0.0586</t>
  </si>
  <si>
    <t xml:space="preserve">    0.1890</t>
  </si>
  <si>
    <t xml:space="preserve">    0.0601</t>
  </si>
  <si>
    <t xml:space="preserve">   -0.3382</t>
  </si>
  <si>
    <t xml:space="preserve">    0.1387</t>
  </si>
  <si>
    <t xml:space="preserve">   -0.2297</t>
  </si>
  <si>
    <t xml:space="preserve">   -0.0833</t>
  </si>
  <si>
    <t xml:space="preserve">   -0.1036</t>
  </si>
  <si>
    <t>DK0:[MICROCT.DATA.00000700.00018035]</t>
  </si>
  <si>
    <t xml:space="preserve">    0.7280</t>
  </si>
  <si>
    <t xml:space="preserve">    0.1826</t>
  </si>
  <si>
    <t xml:space="preserve">    0.2508</t>
  </si>
  <si>
    <t xml:space="preserve">  188.8763</t>
  </si>
  <si>
    <t xml:space="preserve">    0.9272</t>
  </si>
  <si>
    <t xml:space="preserve">    4.5806</t>
  </si>
  <si>
    <t xml:space="preserve">    0.0643</t>
  </si>
  <si>
    <t xml:space="preserve">    0.2226</t>
  </si>
  <si>
    <t xml:space="preserve">    0.0986</t>
  </si>
  <si>
    <t xml:space="preserve">    0.0248</t>
  </si>
  <si>
    <t xml:space="preserve">    0.0892</t>
  </si>
  <si>
    <t xml:space="preserve">  914.5858</t>
  </si>
  <si>
    <t xml:space="preserve">    0.6952</t>
  </si>
  <si>
    <t xml:space="preserve">    0.1756</t>
  </si>
  <si>
    <t xml:space="preserve">    6.7890</t>
  </si>
  <si>
    <t xml:space="preserve">   38.6533</t>
  </si>
  <si>
    <t xml:space="preserve">    4.8827</t>
  </si>
  <si>
    <t xml:space="preserve">    0.0517</t>
  </si>
  <si>
    <t xml:space="preserve">    0.1531</t>
  </si>
  <si>
    <t xml:space="preserve">    1.3596</t>
  </si>
  <si>
    <t xml:space="preserve">    0.1840</t>
  </si>
  <si>
    <t xml:space="preserve">    0.2502</t>
  </si>
  <si>
    <t xml:space="preserve">    0.1942</t>
  </si>
  <si>
    <t xml:space="preserve">    0.1805</t>
  </si>
  <si>
    <t xml:space="preserve">   -0.0308</t>
  </si>
  <si>
    <t xml:space="preserve">    0.0182</t>
  </si>
  <si>
    <t xml:space="preserve">   -0.0438</t>
  </si>
  <si>
    <t xml:space="preserve">   -0.2456</t>
  </si>
  <si>
    <t xml:space="preserve">    0.0194</t>
  </si>
  <si>
    <t xml:space="preserve">   -0.0163</t>
  </si>
  <si>
    <t xml:space="preserve">    0.1927</t>
  </si>
  <si>
    <t>A00OA604</t>
  </si>
  <si>
    <t xml:space="preserve">    0.2450</t>
  </si>
  <si>
    <t xml:space="preserve">    0.0184</t>
  </si>
  <si>
    <t xml:space="preserve">    0.0750</t>
  </si>
  <si>
    <t xml:space="preserve">  161.2486</t>
  </si>
  <si>
    <t xml:space="preserve">    2.1011</t>
  </si>
  <si>
    <t xml:space="preserve">    3.0798</t>
  </si>
  <si>
    <t xml:space="preserve">    0.0355</t>
  </si>
  <si>
    <t xml:space="preserve">    0.3308</t>
  </si>
  <si>
    <t xml:space="preserve">    0.1201</t>
  </si>
  <si>
    <t xml:space="preserve">    0.0196</t>
  </si>
  <si>
    <t xml:space="preserve">    0.1130</t>
  </si>
  <si>
    <t>~  947.585</t>
  </si>
  <si>
    <t xml:space="preserve">    0.2321</t>
  </si>
  <si>
    <t xml:space="preserve">    0.0146</t>
  </si>
  <si>
    <t xml:space="preserve">    0.0627</t>
  </si>
  <si>
    <t xml:space="preserve">    1.0610</t>
  </si>
  <si>
    <t xml:space="preserve">   72.9235</t>
  </si>
  <si>
    <t xml:space="preserve">    2.2862</t>
  </si>
  <si>
    <t xml:space="preserve">    0.0274</t>
  </si>
  <si>
    <t xml:space="preserve">    0.4100</t>
  </si>
  <si>
    <t xml:space="preserve">    1.5988</t>
  </si>
  <si>
    <t xml:space="preserve">    0.3775</t>
  </si>
  <si>
    <t xml:space="preserve">    0.6035</t>
  </si>
  <si>
    <t xml:space="preserve">    0.4038</t>
  </si>
  <si>
    <t xml:space="preserve">    0.1738</t>
  </si>
  <si>
    <t xml:space="preserve">    0.0498</t>
  </si>
  <si>
    <t xml:space="preserve">   -0.3314</t>
  </si>
  <si>
    <t xml:space="preserve">    0.5043</t>
  </si>
  <si>
    <t xml:space="preserve">   -0.2404</t>
  </si>
  <si>
    <t xml:space="preserve">    0.1210</t>
  </si>
  <si>
    <t xml:space="preserve">    0.3665</t>
  </si>
  <si>
    <t xml:space="preserve">    0.1186</t>
  </si>
  <si>
    <t>DK0:[MICROCT.DATA.00000700.00018036]</t>
  </si>
  <si>
    <t xml:space="preserve">    0.6248</t>
  </si>
  <si>
    <t xml:space="preserve">    0.1293</t>
  </si>
  <si>
    <t xml:space="preserve">    0.2070</t>
  </si>
  <si>
    <t xml:space="preserve">  156.8452</t>
  </si>
  <si>
    <t xml:space="preserve">    1.0897</t>
  </si>
  <si>
    <t xml:space="preserve">    3.8752</t>
  </si>
  <si>
    <t xml:space="preserve">    0.0610</t>
  </si>
  <si>
    <t xml:space="preserve">    0.2713</t>
  </si>
  <si>
    <t xml:space="preserve">    0.0239</t>
  </si>
  <si>
    <t xml:space="preserve">    0.1290</t>
  </si>
  <si>
    <t>~  951.583</t>
  </si>
  <si>
    <t xml:space="preserve">    0.5943</t>
  </si>
  <si>
    <t xml:space="preserve">    0.1232</t>
  </si>
  <si>
    <t xml:space="preserve">    0.2074</t>
  </si>
  <si>
    <t xml:space="preserve">    5.2525</t>
  </si>
  <si>
    <t xml:space="preserve">   42.6190</t>
  </si>
  <si>
    <t xml:space="preserve">    4.4192</t>
  </si>
  <si>
    <t xml:space="preserve">    0.0469</t>
  </si>
  <si>
    <t xml:space="preserve">    0.1794</t>
  </si>
  <si>
    <t xml:space="preserve">    1.2834</t>
  </si>
  <si>
    <t xml:space="preserve">    0.2055</t>
  </si>
  <si>
    <t xml:space="preserve">    0.2191</t>
  </si>
  <si>
    <t xml:space="preserve">    0.1048</t>
  </si>
  <si>
    <t xml:space="preserve">    0.0744</t>
  </si>
  <si>
    <t xml:space="preserve">   -0.1604</t>
  </si>
  <si>
    <t xml:space="preserve">    0.2022</t>
  </si>
  <si>
    <t xml:space="preserve">   -0.1591</t>
  </si>
  <si>
    <t xml:space="preserve">    0.0583</t>
  </si>
  <si>
    <t xml:space="preserve">    0.0856</t>
  </si>
  <si>
    <t xml:space="preserve">    0.1558</t>
  </si>
  <si>
    <t xml:space="preserve">    0.1282</t>
  </si>
  <si>
    <t>A00OA605</t>
  </si>
  <si>
    <t xml:space="preserve">    0.2061</t>
  </si>
  <si>
    <t xml:space="preserve">    0.0437</t>
  </si>
  <si>
    <t xml:space="preserve">    0.2120</t>
  </si>
  <si>
    <t xml:space="preserve">  123.7438</t>
  </si>
  <si>
    <t xml:space="preserve">    1.7233</t>
  </si>
  <si>
    <t xml:space="preserve">    3.9626</t>
  </si>
  <si>
    <t xml:space="preserve">    0.0533</t>
  </si>
  <si>
    <t xml:space="preserve">    0.2605</t>
  </si>
  <si>
    <t xml:space="preserve">    0.1168</t>
  </si>
  <si>
    <t xml:space="preserve">    0.0204</t>
  </si>
  <si>
    <t xml:space="preserve">    0.1059</t>
  </si>
  <si>
    <t>~  932.684</t>
  </si>
  <si>
    <t xml:space="preserve">    0.1906</t>
  </si>
  <si>
    <t xml:space="preserve">    0.0393</t>
  </si>
  <si>
    <t xml:space="preserve">    0.2060</t>
  </si>
  <si>
    <t xml:space="preserve">    1.8036</t>
  </si>
  <si>
    <t xml:space="preserve">   45.9425</t>
  </si>
  <si>
    <t xml:space="preserve">    4.7319</t>
  </si>
  <si>
    <t xml:space="preserve">    0.0435</t>
  </si>
  <si>
    <t xml:space="preserve">    0.1678</t>
  </si>
  <si>
    <t xml:space="preserve">    1.4698</t>
  </si>
  <si>
    <t xml:space="preserve">    0.1765</t>
  </si>
  <si>
    <t xml:space="preserve">    0.2594</t>
  </si>
  <si>
    <t xml:space="preserve">    0.2190</t>
  </si>
  <si>
    <t xml:space="preserve">    0.0232</t>
  </si>
  <si>
    <t xml:space="preserve">   -0.0246</t>
  </si>
  <si>
    <t xml:space="preserve">    0.1732</t>
  </si>
  <si>
    <t xml:space="preserve">   -0.2494</t>
  </si>
  <si>
    <t xml:space="preserve">    0.0580</t>
  </si>
  <si>
    <t xml:space="preserve">    0.0416</t>
  </si>
  <si>
    <t xml:space="preserve">    0.0530</t>
  </si>
  <si>
    <t xml:space="preserve">    0.2113</t>
  </si>
  <si>
    <t xml:space="preserve">    0.0229</t>
  </si>
  <si>
    <t>DK0:[MICROCT.DATA.00000700.00018037]</t>
  </si>
  <si>
    <t xml:space="preserve">    0.7846</t>
  </si>
  <si>
    <t xml:space="preserve">    0.1920</t>
  </si>
  <si>
    <t xml:space="preserve">    0.2448</t>
  </si>
  <si>
    <t xml:space="preserve">  200.7381</t>
  </si>
  <si>
    <t xml:space="preserve">    0.6311</t>
  </si>
  <si>
    <t xml:space="preserve">    4.1864</t>
  </si>
  <si>
    <t xml:space="preserve">    0.0602</t>
  </si>
  <si>
    <t xml:space="preserve">    0.2434</t>
  </si>
  <si>
    <t xml:space="preserve">    0.0976</t>
  </si>
  <si>
    <t xml:space="preserve">    0.0233</t>
  </si>
  <si>
    <t xml:space="preserve">    0.0897</t>
  </si>
  <si>
    <t>~  969.028</t>
  </si>
  <si>
    <t xml:space="preserve">    0.7433</t>
  </si>
  <si>
    <t xml:space="preserve">    0.1852</t>
  </si>
  <si>
    <t xml:space="preserve">    0.2492</t>
  </si>
  <si>
    <t xml:space="preserve">    7.5559</t>
  </si>
  <si>
    <t xml:space="preserve">   40.7994</t>
  </si>
  <si>
    <t xml:space="preserve">    5.0829</t>
  </si>
  <si>
    <t xml:space="preserve">    0.0490</t>
  </si>
  <si>
    <t xml:space="preserve">    0.1477</t>
  </si>
  <si>
    <t xml:space="preserve">    1.3314</t>
  </si>
  <si>
    <t xml:space="preserve">    0.1734</t>
  </si>
  <si>
    <t xml:space="preserve">    0.1965</t>
  </si>
  <si>
    <t xml:space="preserve">    0.0636</t>
  </si>
  <si>
    <t xml:space="preserve">   -0.0275</t>
  </si>
  <si>
    <t xml:space="preserve">    0.1590</t>
  </si>
  <si>
    <t xml:space="preserve">    0.1267</t>
  </si>
  <si>
    <t xml:space="preserve">    0.1923</t>
  </si>
  <si>
    <t xml:space="preserve">   -0.0174</t>
  </si>
  <si>
    <t xml:space="preserve">   -0.1476</t>
  </si>
  <si>
    <t xml:space="preserve">    0.1043</t>
  </si>
  <si>
    <t xml:space="preserve">    0.0772</t>
  </si>
  <si>
    <t>A00OA606</t>
  </si>
  <si>
    <t xml:space="preserve">    0.2647</t>
  </si>
  <si>
    <t xml:space="preserve">    0.0854</t>
  </si>
  <si>
    <t xml:space="preserve">    0.3227</t>
  </si>
  <si>
    <t xml:space="preserve">  577.9933</t>
  </si>
  <si>
    <t xml:space="preserve">    1.5323</t>
  </si>
  <si>
    <t xml:space="preserve">    5.8289</t>
  </si>
  <si>
    <t xml:space="preserve">    0.0570</t>
  </si>
  <si>
    <t xml:space="preserve">    0.1763</t>
  </si>
  <si>
    <t xml:space="preserve">    0.0925</t>
  </si>
  <si>
    <t xml:space="preserve">    0.0284</t>
  </si>
  <si>
    <t xml:space="preserve">    0.0852</t>
  </si>
  <si>
    <t>~  962.050</t>
  </si>
  <si>
    <t xml:space="preserve">    0.2426</t>
  </si>
  <si>
    <t xml:space="preserve">    0.0785</t>
  </si>
  <si>
    <t xml:space="preserve">    0.3234</t>
  </si>
  <si>
    <t xml:space="preserve">    3.8689</t>
  </si>
  <si>
    <t xml:space="preserve">   49.3117</t>
  </si>
  <si>
    <t xml:space="preserve">    7.9732</t>
  </si>
  <si>
    <t xml:space="preserve">    0.0406</t>
  </si>
  <si>
    <t xml:space="preserve">    0.0849</t>
  </si>
  <si>
    <t xml:space="preserve">    1.4981</t>
  </si>
  <si>
    <t xml:space="preserve">    0.0997</t>
  </si>
  <si>
    <t xml:space="preserve">    0.1493</t>
  </si>
  <si>
    <t xml:space="preserve">    0.1442</t>
  </si>
  <si>
    <t xml:space="preserve">    0.0160</t>
  </si>
  <si>
    <t xml:space="preserve">    0.0278</t>
  </si>
  <si>
    <t xml:space="preserve">    0.0944</t>
  </si>
  <si>
    <t xml:space="preserve">    0.0815</t>
  </si>
  <si>
    <t xml:space="preserve">   -0.1231</t>
  </si>
  <si>
    <t xml:space="preserve">    0.0224</t>
  </si>
  <si>
    <t xml:space="preserve">    0.0710</t>
  </si>
  <si>
    <t xml:space="preserve">   -0.0411</t>
  </si>
  <si>
    <t>DK0:[MICROCT.DATA.00000700.00018039]</t>
  </si>
  <si>
    <t xml:space="preserve">    0.5022</t>
  </si>
  <si>
    <t xml:space="preserve">    0.2041</t>
  </si>
  <si>
    <t xml:space="preserve">    0.4064</t>
  </si>
  <si>
    <t xml:space="preserve">  292.6983</t>
  </si>
  <si>
    <t xml:space="preserve">    0.8138</t>
  </si>
  <si>
    <t xml:space="preserve">    7.1430</t>
  </si>
  <si>
    <t xml:space="preserve">    0.0758</t>
  </si>
  <si>
    <t xml:space="preserve">    0.1412</t>
  </si>
  <si>
    <t xml:space="preserve">    0.0526</t>
  </si>
  <si>
    <t xml:space="preserve">    0.0299</t>
  </si>
  <si>
    <t xml:space="preserve">    0.0491</t>
  </si>
  <si>
    <t xml:space="preserve"> 1027.2506</t>
  </si>
  <si>
    <t xml:space="preserve">    0.4697</t>
  </si>
  <si>
    <t xml:space="preserve">    0.1978</t>
  </si>
  <si>
    <t xml:space="preserve">    0.4212</t>
  </si>
  <si>
    <t xml:space="preserve">    6.8839</t>
  </si>
  <si>
    <t xml:space="preserve">   34.7999</t>
  </si>
  <si>
    <t xml:space="preserve">    7.3286</t>
  </si>
  <si>
    <t xml:space="preserve">    0.0575</t>
  </si>
  <si>
    <t xml:space="preserve">    0.0790</t>
  </si>
  <si>
    <t xml:space="preserve">    1.4923</t>
  </si>
  <si>
    <t xml:space="preserve">    0.1127</t>
  </si>
  <si>
    <t xml:space="preserve">    0.1682</t>
  </si>
  <si>
    <t xml:space="preserve">    0.1430</t>
  </si>
  <si>
    <t xml:space="preserve">   -0.0034</t>
  </si>
  <si>
    <t xml:space="preserve">    0.0231</t>
  </si>
  <si>
    <t xml:space="preserve">    0.1103</t>
  </si>
  <si>
    <t xml:space="preserve">    0.0827</t>
  </si>
  <si>
    <t xml:space="preserve">   -0.1428</t>
  </si>
  <si>
    <t xml:space="preserve">    0.0325</t>
  </si>
  <si>
    <t xml:space="preserve">    0.1244</t>
  </si>
  <si>
    <t xml:space="preserve">    0.0696</t>
  </si>
  <si>
    <t xml:space="preserve">   -0.0107</t>
  </si>
  <si>
    <t>A00OA607</t>
  </si>
  <si>
    <t xml:space="preserve">    0.0249</t>
  </si>
  <si>
    <t xml:space="preserve">    0.1269</t>
  </si>
  <si>
    <t xml:space="preserve">  101.7651</t>
  </si>
  <si>
    <t xml:space="preserve">    2.7267</t>
  </si>
  <si>
    <t xml:space="preserve">    3.5757</t>
  </si>
  <si>
    <t xml:space="preserve">    0.0565</t>
  </si>
  <si>
    <t xml:space="preserve">    0.2967</t>
  </si>
  <si>
    <t xml:space="preserve">    0.0957</t>
  </si>
  <si>
    <t xml:space="preserve">    0.0238</t>
  </si>
  <si>
    <t xml:space="preserve">    0.0767</t>
  </si>
  <si>
    <t>~  965.539</t>
  </si>
  <si>
    <t xml:space="preserve">    0.1839</t>
  </si>
  <si>
    <t xml:space="preserve">    0.0215</t>
  </si>
  <si>
    <t xml:space="preserve">    0.1167</t>
  </si>
  <si>
    <t xml:space="preserve">    0.9893</t>
  </si>
  <si>
    <t xml:space="preserve">   46.0961</t>
  </si>
  <si>
    <t xml:space="preserve">    2.6899</t>
  </si>
  <si>
    <t xml:space="preserve">    0.0434</t>
  </si>
  <si>
    <t xml:space="preserve">    0.3284</t>
  </si>
  <si>
    <t xml:space="preserve">    1.7753</t>
  </si>
  <si>
    <t xml:space="preserve">    0.3015</t>
  </si>
  <si>
    <t xml:space="preserve">    0.5352</t>
  </si>
  <si>
    <t xml:space="preserve">    0.3620</t>
  </si>
  <si>
    <t xml:space="preserve">    0.0114</t>
  </si>
  <si>
    <t xml:space="preserve">   -0.0643</t>
  </si>
  <si>
    <t xml:space="preserve">    0.2943</t>
  </si>
  <si>
    <t xml:space="preserve">   -0.3402</t>
  </si>
  <si>
    <t xml:space="preserve">   -0.4062</t>
  </si>
  <si>
    <t xml:space="preserve">   -0.0756</t>
  </si>
  <si>
    <t xml:space="preserve">   -0.2792</t>
  </si>
  <si>
    <t xml:space="preserve">    0.2227</t>
  </si>
  <si>
    <t xml:space="preserve">    0.0595</t>
  </si>
  <si>
    <t>DK0:[MICROCT.DATA.00000700.00018040]</t>
  </si>
  <si>
    <t xml:space="preserve">    0.5775</t>
  </si>
  <si>
    <t xml:space="preserve">    0.1228</t>
  </si>
  <si>
    <t xml:space="preserve">    0.2126</t>
  </si>
  <si>
    <t xml:space="preserve">  196.5253</t>
  </si>
  <si>
    <t xml:space="preserve">    1.3865</t>
  </si>
  <si>
    <t xml:space="preserve">    4.1133</t>
  </si>
  <si>
    <t xml:space="preserve">    0.0578</t>
  </si>
  <si>
    <t xml:space="preserve">    0.2574</t>
  </si>
  <si>
    <t xml:space="preserve">    0.1172</t>
  </si>
  <si>
    <t xml:space="preserve">    0.1144</t>
  </si>
  <si>
    <t>~  948.821</t>
  </si>
  <si>
    <t xml:space="preserve">    0.5473</t>
  </si>
  <si>
    <t xml:space="preserve">    0.1152</t>
  </si>
  <si>
    <t xml:space="preserve">    0.2104</t>
  </si>
  <si>
    <t xml:space="preserve">    5.1165</t>
  </si>
  <si>
    <t xml:space="preserve">   44.4257</t>
  </si>
  <si>
    <t xml:space="preserve">    4.6741</t>
  </si>
  <si>
    <t xml:space="preserve">    0.0450</t>
  </si>
  <si>
    <t xml:space="preserve">    0.1689</t>
  </si>
  <si>
    <t xml:space="preserve">    1.4062</t>
  </si>
  <si>
    <t xml:space="preserve">    0.1792</t>
  </si>
  <si>
    <t xml:space="preserve">    0.2520</t>
  </si>
  <si>
    <t xml:space="preserve">    0.2281</t>
  </si>
  <si>
    <t xml:space="preserve">    0.0206</t>
  </si>
  <si>
    <t xml:space="preserve">   -0.0252</t>
  </si>
  <si>
    <t xml:space="preserve">    0.1762</t>
  </si>
  <si>
    <t xml:space="preserve">   -0.1010</t>
  </si>
  <si>
    <t xml:space="preserve">   -0.2299</t>
  </si>
  <si>
    <t xml:space="preserve">   -0.0211</t>
  </si>
  <si>
    <t xml:space="preserve">    0.2073</t>
  </si>
  <si>
    <t xml:space="preserve">   -0.0877</t>
  </si>
  <si>
    <t xml:space="preserve">   -0.0367</t>
  </si>
  <si>
    <t>A00OA608</t>
  </si>
  <si>
    <t xml:space="preserve">    0.2957</t>
  </si>
  <si>
    <t xml:space="preserve">    0.0347</t>
  </si>
  <si>
    <t xml:space="preserve">    0.1173</t>
  </si>
  <si>
    <t xml:space="preserve">   86.2493</t>
  </si>
  <si>
    <t xml:space="preserve">    2.1386</t>
  </si>
  <si>
    <t xml:space="preserve">    3.3802</t>
  </si>
  <si>
    <t xml:space="preserve">    0.0493</t>
  </si>
  <si>
    <t xml:space="preserve">    0.3261</t>
  </si>
  <si>
    <t xml:space="preserve">    0.1271</t>
  </si>
  <si>
    <t xml:space="preserve">    0.1250</t>
  </si>
  <si>
    <t>~  911.024</t>
  </si>
  <si>
    <t xml:space="preserve">    0.2787</t>
  </si>
  <si>
    <t xml:space="preserve">    0.0300</t>
  </si>
  <si>
    <t xml:space="preserve">    1.5943</t>
  </si>
  <si>
    <t xml:space="preserve">   53.1275</t>
  </si>
  <si>
    <t xml:space="preserve">    2.8598</t>
  </si>
  <si>
    <t xml:space="preserve">    0.0376</t>
  </si>
  <si>
    <t xml:space="preserve">    0.3120</t>
  </si>
  <si>
    <t xml:space="preserve">    1.5911</t>
  </si>
  <si>
    <t xml:space="preserve">    0.2763</t>
  </si>
  <si>
    <t xml:space="preserve">    0.4397</t>
  </si>
  <si>
    <t xml:space="preserve">    0.3865</t>
  </si>
  <si>
    <t xml:space="preserve">   -0.0564</t>
  </si>
  <si>
    <t xml:space="preserve">    0.0687</t>
  </si>
  <si>
    <t xml:space="preserve">    0.2616</t>
  </si>
  <si>
    <t xml:space="preserve">    0.4252</t>
  </si>
  <si>
    <t xml:space="preserve">   -0.0436</t>
  </si>
  <si>
    <t xml:space="preserve">    0.1031</t>
  </si>
  <si>
    <t xml:space="preserve">    0.0589</t>
  </si>
  <si>
    <t xml:space="preserve">    0.3723</t>
  </si>
  <si>
    <t xml:space="preserve">   -0.0851</t>
  </si>
  <si>
    <t>DK0:[MICROCT.DATA.00000700.00018041]</t>
  </si>
  <si>
    <t xml:space="preserve">    0.7151</t>
  </si>
  <si>
    <t xml:space="preserve">    0.1615</t>
  </si>
  <si>
    <t xml:space="preserve">    0.2259</t>
  </si>
  <si>
    <t xml:space="preserve">  176.1978</t>
  </si>
  <si>
    <t xml:space="preserve">    0.9649</t>
  </si>
  <si>
    <t xml:space="preserve">    3.8330</t>
  </si>
  <si>
    <t xml:space="preserve">    0.0616</t>
  </si>
  <si>
    <t xml:space="preserve">    0.2684</t>
  </si>
  <si>
    <t xml:space="preserve">    0.1342</t>
  </si>
  <si>
    <t xml:space="preserve">    0.0234</t>
  </si>
  <si>
    <t xml:space="preserve">    0.1211</t>
  </si>
  <si>
    <t>~  937.845</t>
  </si>
  <si>
    <t xml:space="preserve">    0.6783</t>
  </si>
  <si>
    <t xml:space="preserve">    0.1540</t>
  </si>
  <si>
    <t xml:space="preserve">    0.2271</t>
  </si>
  <si>
    <t xml:space="preserve">    6.3665</t>
  </si>
  <si>
    <t xml:space="preserve">   41.3394</t>
  </si>
  <si>
    <t xml:space="preserve">    4.6931</t>
  </si>
  <si>
    <t xml:space="preserve">    0.0484</t>
  </si>
  <si>
    <t xml:space="preserve">    0.1647</t>
  </si>
  <si>
    <t xml:space="preserve">    1.2988</t>
  </si>
  <si>
    <t xml:space="preserve">    0.1917</t>
  </si>
  <si>
    <t xml:space="preserve">    0.2489</t>
  </si>
  <si>
    <t xml:space="preserve">    0.2083</t>
  </si>
  <si>
    <t xml:space="preserve">    0.0460</t>
  </si>
  <si>
    <t xml:space="preserve">   -0.0305</t>
  </si>
  <si>
    <t xml:space="preserve">   -0.1835</t>
  </si>
  <si>
    <t xml:space="preserve">    0.2406</t>
  </si>
  <si>
    <t xml:space="preserve">    0.0332</t>
  </si>
  <si>
    <t xml:space="preserve">    0.0548</t>
  </si>
  <si>
    <t xml:space="preserve">   -0.0193</t>
  </si>
  <si>
    <t xml:space="preserve">    0.2038</t>
  </si>
  <si>
    <t xml:space="preserve">   -0.0387</t>
  </si>
  <si>
    <t>A00OA609</t>
  </si>
  <si>
    <t xml:space="preserve">    0.3455</t>
  </si>
  <si>
    <t xml:space="preserve">    0.0423</t>
  </si>
  <si>
    <t xml:space="preserve">    0.1224</t>
  </si>
  <si>
    <t xml:space="preserve">  127.3413</t>
  </si>
  <si>
    <t xml:space="preserve">    1.6735</t>
  </si>
  <si>
    <t xml:space="preserve">    2.8884</t>
  </si>
  <si>
    <t xml:space="preserve">    0.0571</t>
  </si>
  <si>
    <t xml:space="preserve">    0.3700</t>
  </si>
  <si>
    <t xml:space="preserve">    0.1716</t>
  </si>
  <si>
    <t xml:space="preserve">    0.0264</t>
  </si>
  <si>
    <t xml:space="preserve">    0.1548</t>
  </si>
  <si>
    <t>~  937.409</t>
  </si>
  <si>
    <t xml:space="preserve">    0.3256</t>
  </si>
  <si>
    <t xml:space="preserve">    0.0383</t>
  </si>
  <si>
    <t xml:space="preserve">    1.8340</t>
  </si>
  <si>
    <t xml:space="preserve">   47.9285</t>
  </si>
  <si>
    <t xml:space="preserve">    2.8163</t>
  </si>
  <si>
    <t xml:space="preserve">    0.0417</t>
  </si>
  <si>
    <t xml:space="preserve">    0.3133</t>
  </si>
  <si>
    <t xml:space="preserve">    1.7287</t>
  </si>
  <si>
    <t xml:space="preserve">    0.2773</t>
  </si>
  <si>
    <t xml:space="preserve">    0.4793</t>
  </si>
  <si>
    <t xml:space="preserve">    0.0425</t>
  </si>
  <si>
    <t xml:space="preserve">    0.0531</t>
  </si>
  <si>
    <t xml:space="preserve">    0.2688</t>
  </si>
  <si>
    <t xml:space="preserve">   -0.4671</t>
  </si>
  <si>
    <t xml:space="preserve">   -0.0637</t>
  </si>
  <si>
    <t xml:space="preserve">    0.0865</t>
  </si>
  <si>
    <t xml:space="preserve">   -0.0621</t>
  </si>
  <si>
    <t xml:space="preserve">    0.3695</t>
  </si>
  <si>
    <t xml:space="preserve">   -0.0632</t>
  </si>
  <si>
    <t>DK0:[MICROCT.DATA.00000700.00018042]</t>
  </si>
  <si>
    <t xml:space="preserve">    0.7627</t>
  </si>
  <si>
    <t xml:space="preserve">    0.1374</t>
  </si>
  <si>
    <t xml:space="preserve">    0.1801</t>
  </si>
  <si>
    <t xml:space="preserve">  133.7316</t>
  </si>
  <si>
    <t xml:space="preserve">    1.1302</t>
  </si>
  <si>
    <t xml:space="preserve">    3.6611</t>
  </si>
  <si>
    <t xml:space="preserve">    0.0632</t>
  </si>
  <si>
    <t xml:space="preserve">    0.2839</t>
  </si>
  <si>
    <t xml:space="preserve">    0.1133</t>
  </si>
  <si>
    <t xml:space="preserve">    0.0269</t>
  </si>
  <si>
    <t xml:space="preserve">    0.1037</t>
  </si>
  <si>
    <t xml:space="preserve">  926.1430</t>
  </si>
  <si>
    <t xml:space="preserve">    0.7251</t>
  </si>
  <si>
    <t xml:space="preserve">    0.1317</t>
  </si>
  <si>
    <t xml:space="preserve">    0.1817</t>
  </si>
  <si>
    <t xml:space="preserve">    5.5770</t>
  </si>
  <si>
    <t xml:space="preserve">   42.3418</t>
  </si>
  <si>
    <t xml:space="preserve">    3.8459</t>
  </si>
  <si>
    <t xml:space="preserve">    0.0472</t>
  </si>
  <si>
    <t xml:space="preserve">    0.2128</t>
  </si>
  <si>
    <t xml:space="preserve">    1.4783</t>
  </si>
  <si>
    <t xml:space="preserve">    0.2307</t>
  </si>
  <si>
    <t xml:space="preserve">    0.3410</t>
  </si>
  <si>
    <t xml:space="preserve">    0.2395</t>
  </si>
  <si>
    <t xml:space="preserve">    0.0441</t>
  </si>
  <si>
    <t xml:space="preserve">    0.1596</t>
  </si>
  <si>
    <t xml:space="preserve">    0.1606</t>
  </si>
  <si>
    <t xml:space="preserve">    0.3311</t>
  </si>
  <si>
    <t xml:space="preserve">   -0.0103</t>
  </si>
  <si>
    <t xml:space="preserve">    0.0346</t>
  </si>
  <si>
    <t xml:space="preserve">    0.1633</t>
  </si>
  <si>
    <t xml:space="preserve">   -0.1717</t>
  </si>
  <si>
    <t>A00OA610</t>
  </si>
  <si>
    <t xml:space="preserve">    0.4577</t>
  </si>
  <si>
    <t xml:space="preserve">    0.0850</t>
  </si>
  <si>
    <t xml:space="preserve">    0.1857</t>
  </si>
  <si>
    <t xml:space="preserve">  101.5984</t>
  </si>
  <si>
    <t xml:space="preserve">    1.0562</t>
  </si>
  <si>
    <t xml:space="preserve">    2.7935</t>
  </si>
  <si>
    <t xml:space="preserve">    0.4107</t>
  </si>
  <si>
    <t xml:space="preserve">    0.2076</t>
  </si>
  <si>
    <t xml:space="preserve">    0.0301</t>
  </si>
  <si>
    <t xml:space="preserve">    0.1891</t>
  </si>
  <si>
    <t xml:space="preserve"> 1002.0283</t>
  </si>
  <si>
    <t xml:space="preserve">    0.4277</t>
  </si>
  <si>
    <t xml:space="preserve">    0.0797</t>
  </si>
  <si>
    <t xml:space="preserve">    3.1041</t>
  </si>
  <si>
    <t xml:space="preserve">   38.9246</t>
  </si>
  <si>
    <t xml:space="preserve">    3.6284</t>
  </si>
  <si>
    <t xml:space="preserve">    0.0514</t>
  </si>
  <si>
    <t xml:space="preserve">    0.2242</t>
  </si>
  <si>
    <t xml:space="preserve">    2.1875</t>
  </si>
  <si>
    <t xml:space="preserve">    0.1909</t>
  </si>
  <si>
    <t xml:space="preserve">    0.4176</t>
  </si>
  <si>
    <t xml:space="preserve">    0.3480</t>
  </si>
  <si>
    <t xml:space="preserve">   -0.0263</t>
  </si>
  <si>
    <t xml:space="preserve">   -0.0092</t>
  </si>
  <si>
    <t xml:space="preserve">    0.1889</t>
  </si>
  <si>
    <t xml:space="preserve">    0.2828</t>
  </si>
  <si>
    <t xml:space="preserve">    0.3024</t>
  </si>
  <si>
    <t xml:space="preserve">    0.0542</t>
  </si>
  <si>
    <t xml:space="preserve">   -0.2515</t>
  </si>
  <si>
    <t xml:space="preserve">    0.2394</t>
  </si>
  <si>
    <t xml:space="preserve">   -0.0233</t>
  </si>
  <si>
    <t>DK0:[MICROCT.DATA.00000700.00018043]</t>
  </si>
  <si>
    <t xml:space="preserve">    0.7638</t>
  </si>
  <si>
    <t xml:space="preserve">  125.0402</t>
  </si>
  <si>
    <t xml:space="preserve">    0.9337</t>
  </si>
  <si>
    <t xml:space="preserve">    3.2120</t>
  </si>
  <si>
    <t xml:space="preserve">    0.0652</t>
  </si>
  <si>
    <t xml:space="preserve">    0.3299</t>
  </si>
  <si>
    <t xml:space="preserve">    0.1494</t>
  </si>
  <si>
    <t xml:space="preserve">    0.1420</t>
  </si>
  <si>
    <t xml:space="preserve">  963.4315</t>
  </si>
  <si>
    <t xml:space="preserve">    0.1256</t>
  </si>
  <si>
    <t xml:space="preserve">    5.2732</t>
  </si>
  <si>
    <t xml:space="preserve">   41.9960</t>
  </si>
  <si>
    <t xml:space="preserve">    3.6362</t>
  </si>
  <si>
    <t xml:space="preserve">    0.0476</t>
  </si>
  <si>
    <t xml:space="preserve">    0.2274</t>
  </si>
  <si>
    <t xml:space="preserve">    1.6357</t>
  </si>
  <si>
    <t xml:space="preserve">    0.3796</t>
  </si>
  <si>
    <t xml:space="preserve">    0.2606</t>
  </si>
  <si>
    <t xml:space="preserve">    0.0192</t>
  </si>
  <si>
    <t xml:space="preserve">   -0.0379</t>
  </si>
  <si>
    <t xml:space="preserve">   -0.0672</t>
  </si>
  <si>
    <t xml:space="preserve">   -0.3694</t>
  </si>
  <si>
    <t xml:space="preserve">   -0.0558</t>
  </si>
  <si>
    <t xml:space="preserve">   -0.2555</t>
  </si>
  <si>
    <t xml:space="preserve">    0.0422</t>
  </si>
  <si>
    <t xml:space="preserve">    0.0286</t>
  </si>
  <si>
    <t>A00OA611</t>
  </si>
  <si>
    <t xml:space="preserve">    0.2674</t>
  </si>
  <si>
    <t xml:space="preserve">    0.1652</t>
  </si>
  <si>
    <t xml:space="preserve">  112.1844</t>
  </si>
  <si>
    <t xml:space="preserve">    2.0013</t>
  </si>
  <si>
    <t xml:space="preserve">    3.7937</t>
  </si>
  <si>
    <t xml:space="preserve">    0.2836</t>
  </si>
  <si>
    <t xml:space="preserve">    0.1176</t>
  </si>
  <si>
    <t xml:space="preserve">    0.0390</t>
  </si>
  <si>
    <t xml:space="preserve">    0.1019</t>
  </si>
  <si>
    <t xml:space="preserve"> 1008.3520</t>
  </si>
  <si>
    <t xml:space="preserve">    0.2478</t>
  </si>
  <si>
    <t xml:space="preserve">    0.0397</t>
  </si>
  <si>
    <t xml:space="preserve">    1.7515</t>
  </si>
  <si>
    <t xml:space="preserve">   44.1177</t>
  </si>
  <si>
    <t xml:space="preserve">    3.5347</t>
  </si>
  <si>
    <t xml:space="preserve">    0.2376</t>
  </si>
  <si>
    <t xml:space="preserve">    2.3038</t>
  </si>
  <si>
    <t xml:space="preserve">    0.1952</t>
  </si>
  <si>
    <t xml:space="preserve">    0.4496</t>
  </si>
  <si>
    <t xml:space="preserve">    0.3483</t>
  </si>
  <si>
    <t xml:space="preserve">    0.0014</t>
  </si>
  <si>
    <t xml:space="preserve">   -0.0244</t>
  </si>
  <si>
    <t xml:space="preserve">    0.1936</t>
  </si>
  <si>
    <t xml:space="preserve">   -0.0010</t>
  </si>
  <si>
    <t xml:space="preserve">    0.4461</t>
  </si>
  <si>
    <t xml:space="preserve">    0.0563</t>
  </si>
  <si>
    <t xml:space="preserve">   -0.3483</t>
  </si>
  <si>
    <t xml:space="preserve">   -0.0011</t>
  </si>
  <si>
    <t xml:space="preserve">    0.0024</t>
  </si>
  <si>
    <t>DK0:[MICROCT.DATA.00000700.00018044]</t>
  </si>
  <si>
    <t xml:space="preserve">    0.7906</t>
  </si>
  <si>
    <t xml:space="preserve">    0.1488</t>
  </si>
  <si>
    <t xml:space="preserve">    0.1882</t>
  </si>
  <si>
    <t xml:space="preserve">  129.0174</t>
  </si>
  <si>
    <t xml:space="preserve">    1.0299</t>
  </si>
  <si>
    <t xml:space="preserve">    3.4401</t>
  </si>
  <si>
    <t xml:space="preserve">    0.0705</t>
  </si>
  <si>
    <t xml:space="preserve">    0.3085</t>
  </si>
  <si>
    <t xml:space="preserve">    0.1283</t>
  </si>
  <si>
    <t xml:space="preserve">    0.0350</t>
  </si>
  <si>
    <t xml:space="preserve">  957.0350</t>
  </si>
  <si>
    <t xml:space="preserve">    0.7512</t>
  </si>
  <si>
    <t xml:space="preserve">    0.1424</t>
  </si>
  <si>
    <t xml:space="preserve">    0.1895</t>
  </si>
  <si>
    <t xml:space="preserve">    5.8283</t>
  </si>
  <si>
    <t xml:space="preserve">   40.9399</t>
  </si>
  <si>
    <t xml:space="preserve">    3.8795</t>
  </si>
  <si>
    <t xml:space="preserve">    0.0489</t>
  </si>
  <si>
    <t xml:space="preserve">    0.2089</t>
  </si>
  <si>
    <t xml:space="preserve">    1.4822</t>
  </si>
  <si>
    <t xml:space="preserve">    0.2118</t>
  </si>
  <si>
    <t xml:space="preserve">    0.3140</t>
  </si>
  <si>
    <t xml:space="preserve">    0.2752</t>
  </si>
  <si>
    <t xml:space="preserve">   -0.0083</t>
  </si>
  <si>
    <t xml:space="preserve">   -0.0484</t>
  </si>
  <si>
    <t xml:space="preserve">    0.1139</t>
  </si>
  <si>
    <t xml:space="preserve">   -0.2858</t>
  </si>
  <si>
    <t xml:space="preserve">   -0.0626</t>
  </si>
  <si>
    <t xml:space="preserve">    0.2562</t>
  </si>
  <si>
    <t xml:space="preserve">    0.0950</t>
  </si>
  <si>
    <t xml:space="preserve">    0.0326</t>
  </si>
  <si>
    <t>A00OA612</t>
  </si>
  <si>
    <t xml:space="preserve">    0.3165</t>
  </si>
  <si>
    <t xml:space="preserve">    0.0386</t>
  </si>
  <si>
    <t xml:space="preserve">    0.1220</t>
  </si>
  <si>
    <t xml:space="preserve">   85.2966</t>
  </si>
  <si>
    <t xml:space="preserve">    2.0239</t>
  </si>
  <si>
    <t xml:space="preserve">    3.1411</t>
  </si>
  <si>
    <t xml:space="preserve">    0.0539</t>
  </si>
  <si>
    <t xml:space="preserve">    0.3194</t>
  </si>
  <si>
    <t xml:space="preserve">    0.1347</t>
  </si>
  <si>
    <t xml:space="preserve">    0.0311</t>
  </si>
  <si>
    <t>~  972.226</t>
  </si>
  <si>
    <t xml:space="preserve">    0.2987</t>
  </si>
  <si>
    <t xml:space="preserve">    0.0337</t>
  </si>
  <si>
    <t xml:space="preserve">    1.7582</t>
  </si>
  <si>
    <t xml:space="preserve">   52.1312</t>
  </si>
  <si>
    <t xml:space="preserve">    2.9430</t>
  </si>
  <si>
    <t xml:space="preserve">    0.0384</t>
  </si>
  <si>
    <t xml:space="preserve">    0.3014</t>
  </si>
  <si>
    <t xml:space="preserve">    1.5945</t>
  </si>
  <si>
    <t xml:space="preserve">    0.2694</t>
  </si>
  <si>
    <t xml:space="preserve">    0.4295</t>
  </si>
  <si>
    <t xml:space="preserve">    0.3721</t>
  </si>
  <si>
    <t xml:space="preserve">   -0.0136</t>
  </si>
  <si>
    <t xml:space="preserve">    0.2637</t>
  </si>
  <si>
    <t xml:space="preserve">    0.4070</t>
  </si>
  <si>
    <t xml:space="preserve">    0.1142</t>
  </si>
  <si>
    <t xml:space="preserve">   -0.0761</t>
  </si>
  <si>
    <t xml:space="preserve">    0.0936</t>
  </si>
  <si>
    <t xml:space="preserve">   -0.3582</t>
  </si>
  <si>
    <t xml:space="preserve">   -0.0373</t>
  </si>
  <si>
    <t>DK0:[MICROCT.DATA.00000700.00018046]</t>
  </si>
  <si>
    <t xml:space="preserve">    0.8418</t>
  </si>
  <si>
    <t xml:space="preserve">    0.1246</t>
  </si>
  <si>
    <t xml:space="preserve">    0.1480</t>
  </si>
  <si>
    <t xml:space="preserve">   90.2848</t>
  </si>
  <si>
    <t xml:space="preserve">    1.2662</t>
  </si>
  <si>
    <t xml:space="preserve">    3.4456</t>
  </si>
  <si>
    <t xml:space="preserve">    0.0557</t>
  </si>
  <si>
    <t xml:space="preserve">    0.2945</t>
  </si>
  <si>
    <t xml:space="preserve">    0.1157</t>
  </si>
  <si>
    <t xml:space="preserve">    0.1053</t>
  </si>
  <si>
    <t>~  979.640</t>
  </si>
  <si>
    <t xml:space="preserve">    0.8067</t>
  </si>
  <si>
    <t xml:space="preserve">    0.1453</t>
  </si>
  <si>
    <t xml:space="preserve">    5.2116</t>
  </si>
  <si>
    <t xml:space="preserve">   44.4486</t>
  </si>
  <si>
    <t xml:space="preserve">    3.2301</t>
  </si>
  <si>
    <t xml:space="preserve">    0.2646</t>
  </si>
  <si>
    <t xml:space="preserve">    1.4895</t>
  </si>
  <si>
    <t xml:space="preserve">    0.2648</t>
  </si>
  <si>
    <t xml:space="preserve">    0.3944</t>
  </si>
  <si>
    <t xml:space="preserve">    0.3025</t>
  </si>
  <si>
    <t xml:space="preserve">    0.1299</t>
  </si>
  <si>
    <t xml:space="preserve">   -0.2113</t>
  </si>
  <si>
    <t xml:space="preserve">   -0.0927</t>
  </si>
  <si>
    <t xml:space="preserve">    0.3397</t>
  </si>
  <si>
    <t xml:space="preserve">    0.1992</t>
  </si>
  <si>
    <t xml:space="preserve">    0.0222</t>
  </si>
  <si>
    <t xml:space="preserve">   -0.0399</t>
  </si>
  <si>
    <t xml:space="preserve">    0.0996</t>
  </si>
  <si>
    <t xml:space="preserve">   -0.2829</t>
  </si>
  <si>
    <t>A00OA613</t>
  </si>
  <si>
    <t xml:space="preserve">    0.4550</t>
  </si>
  <si>
    <t xml:space="preserve">    0.1321</t>
  </si>
  <si>
    <t xml:space="preserve">    0.2902</t>
  </si>
  <si>
    <t xml:space="preserve">  176.9151</t>
  </si>
  <si>
    <t xml:space="preserve">    0.7415</t>
  </si>
  <si>
    <t xml:space="preserve">    4.0404</t>
  </si>
  <si>
    <t xml:space="preserve">    0.0807</t>
  </si>
  <si>
    <t xml:space="preserve">    0.1289</t>
  </si>
  <si>
    <t xml:space="preserve">    0.1116</t>
  </si>
  <si>
    <t xml:space="preserve"> 1071.3716</t>
  </si>
  <si>
    <t xml:space="preserve">    0.4256</t>
  </si>
  <si>
    <t xml:space="preserve">    4.6144</t>
  </si>
  <si>
    <t xml:space="preserve">   35.9789</t>
  </si>
  <si>
    <t xml:space="preserve">    5.4211</t>
  </si>
  <si>
    <t xml:space="preserve">    0.0556</t>
  </si>
  <si>
    <t xml:space="preserve">    2.0337</t>
  </si>
  <si>
    <t xml:space="preserve">    0.1379</t>
  </si>
  <si>
    <t xml:space="preserve">    0.2805</t>
  </si>
  <si>
    <t xml:space="preserve">    0.0121</t>
  </si>
  <si>
    <t xml:space="preserve">    0.0250</t>
  </si>
  <si>
    <t xml:space="preserve">    0.1351</t>
  </si>
  <si>
    <t xml:space="preserve">   -0.2634</t>
  </si>
  <si>
    <t xml:space="preserve">   -0.0879</t>
  </si>
  <si>
    <t xml:space="preserve">    0.0399</t>
  </si>
  <si>
    <t xml:space="preserve">   -0.0658</t>
  </si>
  <si>
    <t xml:space="preserve">    0.1844</t>
  </si>
  <si>
    <t xml:space="preserve">   -0.0282</t>
  </si>
  <si>
    <t>DK0:[MICROCT.DATA.00000700.00018047]</t>
  </si>
  <si>
    <t xml:space="preserve">    0.7278</t>
  </si>
  <si>
    <t xml:space="preserve">    0.1859</t>
  </si>
  <si>
    <t xml:space="preserve">    0.2554</t>
  </si>
  <si>
    <t xml:space="preserve">  166.2489</t>
  </si>
  <si>
    <t xml:space="preserve">    0.4381</t>
  </si>
  <si>
    <t xml:space="preserve">    3.7891</t>
  </si>
  <si>
    <t xml:space="preserve">    0.0700</t>
  </si>
  <si>
    <t xml:space="preserve">    0.2769</t>
  </si>
  <si>
    <t xml:space="preserve">    0.1295</t>
  </si>
  <si>
    <t xml:space="preserve">    0.0283</t>
  </si>
  <si>
    <t xml:space="preserve">    0.1259</t>
  </si>
  <si>
    <t xml:space="preserve"> 1036.8452</t>
  </si>
  <si>
    <t xml:space="preserve">    0.6920</t>
  </si>
  <si>
    <t xml:space="preserve">    0.1821</t>
  </si>
  <si>
    <t xml:space="preserve">    0.2631</t>
  </si>
  <si>
    <t xml:space="preserve">    6.7595</t>
  </si>
  <si>
    <t xml:space="preserve">   37.1261</t>
  </si>
  <si>
    <t xml:space="preserve">    4.8842</t>
  </si>
  <si>
    <t xml:space="preserve">    0.1509</t>
  </si>
  <si>
    <t xml:space="preserve">    1.4489</t>
  </si>
  <si>
    <t xml:space="preserve">    0.1800</t>
  </si>
  <si>
    <t xml:space="preserve">    0.1937</t>
  </si>
  <si>
    <t xml:space="preserve">    0.0380</t>
  </si>
  <si>
    <t xml:space="preserve">    0.1058</t>
  </si>
  <si>
    <t xml:space="preserve">    0.1406</t>
  </si>
  <si>
    <t xml:space="preserve">    0.2530</t>
  </si>
  <si>
    <t xml:space="preserve">   -0.0077</t>
  </si>
  <si>
    <t xml:space="preserve">   -0.0627</t>
  </si>
  <si>
    <t xml:space="preserve">   -0.0229</t>
  </si>
  <si>
    <t xml:space="preserve">    0.1566</t>
  </si>
  <si>
    <t xml:space="preserve">   -0.1117</t>
  </si>
  <si>
    <t>A00OA614</t>
  </si>
  <si>
    <t xml:space="preserve">    0.4580</t>
  </si>
  <si>
    <t xml:space="preserve">    0.1240</t>
  </si>
  <si>
    <t xml:space="preserve">    0.2707</t>
  </si>
  <si>
    <t xml:space="preserve">  160.4932</t>
  </si>
  <si>
    <t xml:space="preserve">    0.5606</t>
  </si>
  <si>
    <t xml:space="preserve">    3.5563</t>
  </si>
  <si>
    <t xml:space="preserve">    0.0765</t>
  </si>
  <si>
    <t xml:space="preserve">    0.1610</t>
  </si>
  <si>
    <t xml:space="preserve">    0.0339</t>
  </si>
  <si>
    <t xml:space="preserve">    0.1519</t>
  </si>
  <si>
    <t xml:space="preserve"> 1016.2022</t>
  </si>
  <si>
    <t xml:space="preserve">    0.4270</t>
  </si>
  <si>
    <t xml:space="preserve">    0.1194</t>
  </si>
  <si>
    <t xml:space="preserve">    4.3207</t>
  </si>
  <si>
    <t xml:space="preserve">   36.1941</t>
  </si>
  <si>
    <t xml:space="preserve">    5.0598</t>
  </si>
  <si>
    <t xml:space="preserve">    0.0553</t>
  </si>
  <si>
    <t xml:space="preserve">    2.0294</t>
  </si>
  <si>
    <t xml:space="preserve">    0.1428</t>
  </si>
  <si>
    <t xml:space="preserve">    0.2897</t>
  </si>
  <si>
    <t xml:space="preserve">    0.2314</t>
  </si>
  <si>
    <t xml:space="preserve">    0.0125</t>
  </si>
  <si>
    <t xml:space="preserve">    0.0008</t>
  </si>
  <si>
    <t xml:space="preserve">   -0.1422</t>
  </si>
  <si>
    <t xml:space="preserve">    0.2788</t>
  </si>
  <si>
    <t xml:space="preserve">   -0.0749</t>
  </si>
  <si>
    <t xml:space="preserve">    0.0242</t>
  </si>
  <si>
    <t xml:space="preserve">   -0.0595</t>
  </si>
  <si>
    <t xml:space="preserve">   -0.2235</t>
  </si>
  <si>
    <t xml:space="preserve">   -0.0065</t>
  </si>
  <si>
    <t>DK0:[MICROCT.DATA.00000700.00018048]</t>
  </si>
  <si>
    <t xml:space="preserve">    0.6855</t>
  </si>
  <si>
    <t xml:space="preserve">    0.2228</t>
  </si>
  <si>
    <t xml:space="preserve">    0.3251</t>
  </si>
  <si>
    <t xml:space="preserve">  199.8681</t>
  </si>
  <si>
    <t xml:space="preserve">    0.2400</t>
  </si>
  <si>
    <t xml:space="preserve">    4.1198</t>
  </si>
  <si>
    <t xml:space="preserve">    0.2620</t>
  </si>
  <si>
    <t xml:space="preserve">    0.1279</t>
  </si>
  <si>
    <t xml:space="preserve">    0.1322</t>
  </si>
  <si>
    <t xml:space="preserve"> 1014.5303</t>
  </si>
  <si>
    <t xml:space="preserve">    0.6494</t>
  </si>
  <si>
    <t xml:space="preserve">    0.2184</t>
  </si>
  <si>
    <t xml:space="preserve">    0.3363</t>
  </si>
  <si>
    <t xml:space="preserve">    7.0423</t>
  </si>
  <si>
    <t xml:space="preserve">   32.2436</t>
  </si>
  <si>
    <t xml:space="preserve">    5.4224</t>
  </si>
  <si>
    <t xml:space="preserve">    0.0620</t>
  </si>
  <si>
    <t xml:space="preserve">    1.5127</t>
  </si>
  <si>
    <t xml:space="preserve">    0.1567</t>
  </si>
  <si>
    <t xml:space="preserve">    0.2371</t>
  </si>
  <si>
    <t xml:space="preserve">    0.1806</t>
  </si>
  <si>
    <t xml:space="preserve">   -0.0172</t>
  </si>
  <si>
    <t xml:space="preserve">    0.2020</t>
  </si>
  <si>
    <t xml:space="preserve">    0.1188</t>
  </si>
  <si>
    <t xml:space="preserve">    0.0357</t>
  </si>
  <si>
    <t xml:space="preserve">   -0.0924</t>
  </si>
  <si>
    <t xml:space="preserve">    0.1551</t>
  </si>
  <si>
    <t xml:space="preserve">    0.0069</t>
  </si>
  <si>
    <t>A00OA615</t>
  </si>
  <si>
    <t xml:space="preserve">    0.4445</t>
  </si>
  <si>
    <t xml:space="preserve">    0.1230</t>
  </si>
  <si>
    <t xml:space="preserve">    0.2768</t>
  </si>
  <si>
    <t xml:space="preserve">  223.8289</t>
  </si>
  <si>
    <t xml:space="preserve">    0.5691</t>
  </si>
  <si>
    <t xml:space="preserve">    3.8982</t>
  </si>
  <si>
    <t xml:space="preserve">    0.0789</t>
  </si>
  <si>
    <t xml:space="preserve">    0.1463</t>
  </si>
  <si>
    <t xml:space="preserve">    0.1355</t>
  </si>
  <si>
    <t xml:space="preserve"> 1029.7946</t>
  </si>
  <si>
    <t xml:space="preserve">    0.4168</t>
  </si>
  <si>
    <t xml:space="preserve">    0.1191</t>
  </si>
  <si>
    <t xml:space="preserve">    4.3911</t>
  </si>
  <si>
    <t xml:space="preserve">   36.8742</t>
  </si>
  <si>
    <t xml:space="preserve">    5.2681</t>
  </si>
  <si>
    <t xml:space="preserve">    0.1356</t>
  </si>
  <si>
    <t xml:space="preserve">    2.1482</t>
  </si>
  <si>
    <t xml:space="preserve">    0.1426</t>
  </si>
  <si>
    <t xml:space="preserve">    0.3064</t>
  </si>
  <si>
    <t xml:space="preserve">    0.1956</t>
  </si>
  <si>
    <t xml:space="preserve">   -0.0307</t>
  </si>
  <si>
    <t xml:space="preserve">   -0.0224</t>
  </si>
  <si>
    <t xml:space="preserve">    0.1375</t>
  </si>
  <si>
    <t xml:space="preserve">    0.2914</t>
  </si>
  <si>
    <t xml:space="preserve">    0.0631</t>
  </si>
  <si>
    <t xml:space="preserve">   -0.1856</t>
  </si>
  <si>
    <t xml:space="preserve">    0.0520</t>
  </si>
  <si>
    <t xml:space="preserve">   -0.0329</t>
  </si>
  <si>
    <t>DK0:[MICROCT.DATA.00000700.00018049]</t>
  </si>
  <si>
    <t xml:space="preserve">    0.7368</t>
  </si>
  <si>
    <t xml:space="preserve">    0.1926</t>
  </si>
  <si>
    <t xml:space="preserve">    0.2614</t>
  </si>
  <si>
    <t xml:space="preserve">  150.6457</t>
  </si>
  <si>
    <t xml:space="preserve">    0.5096</t>
  </si>
  <si>
    <t xml:space="preserve">    3.6344</t>
  </si>
  <si>
    <t xml:space="preserve">    0.0755</t>
  </si>
  <si>
    <t xml:space="preserve">    0.2971</t>
  </si>
  <si>
    <t xml:space="preserve">    0.1553</t>
  </si>
  <si>
    <t xml:space="preserve">    0.1574</t>
  </si>
  <si>
    <t xml:space="preserve"> 1035.1007</t>
  </si>
  <si>
    <t xml:space="preserve">    0.7012</t>
  </si>
  <si>
    <t xml:space="preserve">    0.1877</t>
  </si>
  <si>
    <t xml:space="preserve">    0.2677</t>
  </si>
  <si>
    <t xml:space="preserve">    6.3248</t>
  </si>
  <si>
    <t xml:space="preserve">   33.6926</t>
  </si>
  <si>
    <t xml:space="preserve">    4.5102</t>
  </si>
  <si>
    <t xml:space="preserve">    0.0594</t>
  </si>
  <si>
    <t xml:space="preserve">    0.1624</t>
  </si>
  <si>
    <t xml:space="preserve">    1.4383</t>
  </si>
  <si>
    <t xml:space="preserve">    0.1947</t>
  </si>
  <si>
    <t xml:space="preserve">    0.2800</t>
  </si>
  <si>
    <t xml:space="preserve">    0.2110</t>
  </si>
  <si>
    <t xml:space="preserve">    0.0443</t>
  </si>
  <si>
    <t xml:space="preserve">   -0.0303</t>
  </si>
  <si>
    <t xml:space="preserve">    0.1871</t>
  </si>
  <si>
    <t xml:space="preserve">    0.0400</t>
  </si>
  <si>
    <t xml:space="preserve">   -0.2720</t>
  </si>
  <si>
    <t xml:space="preserve">   -0.0534</t>
  </si>
  <si>
    <t xml:space="preserve">    0.2033</t>
  </si>
  <si>
    <t xml:space="preserve">    0.0381</t>
  </si>
  <si>
    <t xml:space="preserve">   -0.0420</t>
  </si>
  <si>
    <t>A00OA616</t>
  </si>
  <si>
    <t xml:space="preserve">    0.5265</t>
  </si>
  <si>
    <t xml:space="preserve">    0.1349</t>
  </si>
  <si>
    <t xml:space="preserve">  108.2541</t>
  </si>
  <si>
    <t xml:space="preserve">    0.4440</t>
  </si>
  <si>
    <t xml:space="preserve">    3.5894</t>
  </si>
  <si>
    <t xml:space="preserve">    0.3206</t>
  </si>
  <si>
    <t xml:space="preserve">    0.0415</t>
  </si>
  <si>
    <t xml:space="preserve">    0.1276</t>
  </si>
  <si>
    <t xml:space="preserve"> 1038.5897</t>
  </si>
  <si>
    <t xml:space="preserve">    0.4966</t>
  </si>
  <si>
    <t xml:space="preserve">    0.1312</t>
  </si>
  <si>
    <t xml:space="preserve">    4.3882</t>
  </si>
  <si>
    <t xml:space="preserve">   33.4421</t>
  </si>
  <si>
    <t xml:space="preserve">    4.4187</t>
  </si>
  <si>
    <t xml:space="preserve">    0.0598</t>
  </si>
  <si>
    <t xml:space="preserve">    0.1665</t>
  </si>
  <si>
    <t xml:space="preserve">    1.8009</t>
  </si>
  <si>
    <t xml:space="preserve">    0.3173</t>
  </si>
  <si>
    <t xml:space="preserve">    0.2379</t>
  </si>
  <si>
    <t xml:space="preserve">   -0.0100</t>
  </si>
  <si>
    <t xml:space="preserve">   -0.0165</t>
  </si>
  <si>
    <t xml:space="preserve">    0.1752</t>
  </si>
  <si>
    <t xml:space="preserve">    0.1243</t>
  </si>
  <si>
    <t xml:space="preserve">   -0.2913</t>
  </si>
  <si>
    <t xml:space="preserve">   -0.0203</t>
  </si>
  <si>
    <t xml:space="preserve">   -0.2184</t>
  </si>
  <si>
    <t xml:space="preserve">   -0.0918</t>
  </si>
  <si>
    <t>DK0:[MICROCT.DATA.00000700.00018050]</t>
  </si>
  <si>
    <t xml:space="preserve">    0.7372</t>
  </si>
  <si>
    <t xml:space="preserve">    0.1858</t>
  </si>
  <si>
    <t xml:space="preserve">    0.2521</t>
  </si>
  <si>
    <t xml:space="preserve">   81.3940</t>
  </si>
  <si>
    <t xml:space="preserve">    0.4028</t>
  </si>
  <si>
    <t xml:space="preserve">    3.2499</t>
  </si>
  <si>
    <t xml:space="preserve">    0.0794</t>
  </si>
  <si>
    <t xml:space="preserve">    0.3347</t>
  </si>
  <si>
    <t xml:space="preserve">    0.1691</t>
  </si>
  <si>
    <t xml:space="preserve">    0.0319</t>
  </si>
  <si>
    <t xml:space="preserve">    0.1638</t>
  </si>
  <si>
    <t xml:space="preserve"> 1013.9489</t>
  </si>
  <si>
    <t xml:space="preserve">    0.6995</t>
  </si>
  <si>
    <t xml:space="preserve">    0.1815</t>
  </si>
  <si>
    <t xml:space="preserve">    0.2595</t>
  </si>
  <si>
    <t xml:space="preserve">    5.8644</t>
  </si>
  <si>
    <t xml:space="preserve">   32.3085</t>
  </si>
  <si>
    <t xml:space="preserve">    4.1918</t>
  </si>
  <si>
    <t xml:space="preserve">    0.0619</t>
  </si>
  <si>
    <t xml:space="preserve">    0.1767</t>
  </si>
  <si>
    <t xml:space="preserve">    1.5130</t>
  </si>
  <si>
    <t xml:space="preserve">    0.2009</t>
  </si>
  <si>
    <t xml:space="preserve">    0.3039</t>
  </si>
  <si>
    <t xml:space="preserve">    0.2378</t>
  </si>
  <si>
    <t xml:space="preserve">   -0.0338</t>
  </si>
  <si>
    <t xml:space="preserve">   -0.1973</t>
  </si>
  <si>
    <t xml:space="preserve">    0.2607</t>
  </si>
  <si>
    <t xml:space="preserve">   -0.1561</t>
  </si>
  <si>
    <t xml:space="preserve">    0.0050</t>
  </si>
  <si>
    <t xml:space="preserve">    0.1207</t>
  </si>
  <si>
    <t xml:space="preserve">    0.2001</t>
  </si>
  <si>
    <t xml:space="preserve">   -0.0444</t>
  </si>
  <si>
    <t>A00OA617</t>
  </si>
  <si>
    <t xml:space="preserve">    0.5126</t>
  </si>
  <si>
    <t xml:space="preserve">    0.1218</t>
  </si>
  <si>
    <t xml:space="preserve">   53.6459</t>
  </si>
  <si>
    <t xml:space="preserve">    0.7679</t>
  </si>
  <si>
    <t xml:space="preserve">    3.6681</t>
  </si>
  <si>
    <t xml:space="preserve">    0.0862</t>
  </si>
  <si>
    <t xml:space="preserve">    0.3105</t>
  </si>
  <si>
    <t xml:space="preserve">    0.1307</t>
  </si>
  <si>
    <t xml:space="preserve"> 1063.3760</t>
  </si>
  <si>
    <t xml:space="preserve">    0.4759</t>
  </si>
  <si>
    <t xml:space="preserve">    0.1170</t>
  </si>
  <si>
    <t xml:space="preserve">    4.0848</t>
  </si>
  <si>
    <t xml:space="preserve">   34.9102</t>
  </si>
  <si>
    <t xml:space="preserve">    4.2912</t>
  </si>
  <si>
    <t xml:space="preserve">    0.0573</t>
  </si>
  <si>
    <t xml:space="preserve">    0.1757</t>
  </si>
  <si>
    <t xml:space="preserve">    2.1492</t>
  </si>
  <si>
    <t xml:space="preserve">    0.1660</t>
  </si>
  <si>
    <t xml:space="preserve">    0.3568</t>
  </si>
  <si>
    <t xml:space="preserve">    0.0117</t>
  </si>
  <si>
    <t xml:space="preserve">   -0.0073</t>
  </si>
  <si>
    <t xml:space="preserve">    0.1654</t>
  </si>
  <si>
    <t xml:space="preserve">    0.2765</t>
  </si>
  <si>
    <t xml:space="preserve">    0.2253</t>
  </si>
  <si>
    <t xml:space="preserve">   -0.0096</t>
  </si>
  <si>
    <t xml:space="preserve">    0.2117</t>
  </si>
  <si>
    <t>DK0:[MICROCT.DATA.00000700.00018051]</t>
  </si>
  <si>
    <t xml:space="preserve">    0.8755</t>
  </si>
  <si>
    <t xml:space="preserve">    0.1742</t>
  </si>
  <si>
    <t xml:space="preserve">    0.1989</t>
  </si>
  <si>
    <t xml:space="preserve">   92.5162</t>
  </si>
  <si>
    <t xml:space="preserve">    0.4236</t>
  </si>
  <si>
    <t xml:space="preserve">    2.9996</t>
  </si>
  <si>
    <t xml:space="preserve">    0.0688</t>
  </si>
  <si>
    <t xml:space="preserve">    0.3584</t>
  </si>
  <si>
    <t xml:space="preserve">    0.0259</t>
  </si>
  <si>
    <t xml:space="preserve"> 1015.4026</t>
  </si>
  <si>
    <t xml:space="preserve">    0.8333</t>
  </si>
  <si>
    <t xml:space="preserve">    0.1709</t>
  </si>
  <si>
    <t xml:space="preserve">    0.2050</t>
  </si>
  <si>
    <t xml:space="preserve">    6.2122</t>
  </si>
  <si>
    <t xml:space="preserve">   36.3556</t>
  </si>
  <si>
    <t xml:space="preserve">    3.7273</t>
  </si>
  <si>
    <t xml:space="preserve">    0.0550</t>
  </si>
  <si>
    <t xml:space="preserve">    0.2133</t>
  </si>
  <si>
    <t xml:space="preserve">    1.5757</t>
  </si>
  <si>
    <t xml:space="preserve">    0.2363</t>
  </si>
  <si>
    <t xml:space="preserve">   -0.0961</t>
  </si>
  <si>
    <t xml:space="preserve">   -0.0613</t>
  </si>
  <si>
    <t xml:space="preserve">   -0.1464</t>
  </si>
  <si>
    <t xml:space="preserve">   -0.3401</t>
  </si>
  <si>
    <t xml:space="preserve">   -0.0676</t>
  </si>
  <si>
    <t xml:space="preserve">    0.0025</t>
  </si>
  <si>
    <t xml:space="preserve">   -0.2319</t>
  </si>
  <si>
    <t>A00OA618</t>
  </si>
  <si>
    <t xml:space="preserve">    0.5657</t>
  </si>
  <si>
    <t xml:space="preserve">    0.0921</t>
  </si>
  <si>
    <t xml:space="preserve">    0.1627</t>
  </si>
  <si>
    <t xml:space="preserve">   75.1230</t>
  </si>
  <si>
    <t xml:space="preserve">    0.9483</t>
  </si>
  <si>
    <t xml:space="preserve">    3.2035</t>
  </si>
  <si>
    <t xml:space="preserve">    0.0771</t>
  </si>
  <si>
    <t xml:space="preserve">    0.3471</t>
  </si>
  <si>
    <t xml:space="preserve">    0.1441</t>
  </si>
  <si>
    <t xml:space="preserve">    0.0366</t>
  </si>
  <si>
    <t xml:space="preserve">    0.1258</t>
  </si>
  <si>
    <t xml:space="preserve"> 1031.8298</t>
  </si>
  <si>
    <t xml:space="preserve">    0.5333</t>
  </si>
  <si>
    <t xml:space="preserve">    0.0879</t>
  </si>
  <si>
    <t xml:space="preserve">    3.3786</t>
  </si>
  <si>
    <t xml:space="preserve">   38.4501</t>
  </si>
  <si>
    <t xml:space="preserve">    3.1678</t>
  </si>
  <si>
    <t xml:space="preserve">    1.7798</t>
  </si>
  <si>
    <t xml:space="preserve">    0.2401</t>
  </si>
  <si>
    <t xml:space="preserve">    0.4273</t>
  </si>
  <si>
    <t xml:space="preserve">    0.3533</t>
  </si>
  <si>
    <t xml:space="preserve">   -0.0095</t>
  </si>
  <si>
    <t xml:space="preserve">   -0.2369</t>
  </si>
  <si>
    <t xml:space="preserve">    0.1196</t>
  </si>
  <si>
    <t xml:space="preserve">   -0.4058</t>
  </si>
  <si>
    <t xml:space="preserve">   -0.3389</t>
  </si>
  <si>
    <t xml:space="preserve">   -0.0956</t>
  </si>
  <si>
    <t xml:space="preserve">    0.0289</t>
  </si>
  <si>
    <t>DK0:[MICROCT.DATA.00000700.00018052]</t>
  </si>
  <si>
    <t xml:space="preserve">    0.7888</t>
  </si>
  <si>
    <t xml:space="preserve">    0.1758</t>
  </si>
  <si>
    <t xml:space="preserve">  141.3452</t>
  </si>
  <si>
    <t xml:space="preserve">    1.0148</t>
  </si>
  <si>
    <t xml:space="preserve">    3.1028</t>
  </si>
  <si>
    <t xml:space="preserve">    0.0655</t>
  </si>
  <si>
    <t xml:space="preserve">    0.3342</t>
  </si>
  <si>
    <t xml:space="preserve">    0.1518</t>
  </si>
  <si>
    <t xml:space="preserve">    0.0261</t>
  </si>
  <si>
    <t xml:space="preserve">    0.1422</t>
  </si>
  <si>
    <t xml:space="preserve">  993.1605</t>
  </si>
  <si>
    <t xml:space="preserve">    0.7504</t>
  </si>
  <si>
    <t xml:space="preserve">    0.1336</t>
  </si>
  <si>
    <t xml:space="preserve">    0.1781</t>
  </si>
  <si>
    <t xml:space="preserve">    5.4259</t>
  </si>
  <si>
    <t xml:space="preserve">   40.6094</t>
  </si>
  <si>
    <t xml:space="preserve">    3.6153</t>
  </si>
  <si>
    <t xml:space="preserve">    0.0492</t>
  </si>
  <si>
    <t xml:space="preserve">    1.5984</t>
  </si>
  <si>
    <t xml:space="preserve">    0.3798</t>
  </si>
  <si>
    <t xml:space="preserve">    0.2576</t>
  </si>
  <si>
    <t xml:space="preserve">   -0.0445</t>
  </si>
  <si>
    <t xml:space="preserve">    0.0020</t>
  </si>
  <si>
    <t xml:space="preserve">    0.2334</t>
  </si>
  <si>
    <t xml:space="preserve">    0.2260</t>
  </si>
  <si>
    <t xml:space="preserve">   -0.3019</t>
  </si>
  <si>
    <t xml:space="preserve">    0.0457</t>
  </si>
  <si>
    <t xml:space="preserve">    0.2013</t>
  </si>
  <si>
    <t xml:space="preserve">    0.1563</t>
  </si>
  <si>
    <t xml:space="preserve">    0.0371</t>
  </si>
  <si>
    <t>A00OA71L</t>
  </si>
  <si>
    <t xml:space="preserve">    0.3622</t>
  </si>
  <si>
    <t xml:space="preserve">    0.1447</t>
  </si>
  <si>
    <t xml:space="preserve">    0.3996</t>
  </si>
  <si>
    <t xml:space="preserve">  234.6842</t>
  </si>
  <si>
    <t xml:space="preserve">    0.5285</t>
  </si>
  <si>
    <t xml:space="preserve">    6.1474</t>
  </si>
  <si>
    <t xml:space="preserve">    0.0691</t>
  </si>
  <si>
    <t xml:space="preserve">    0.1730</t>
  </si>
  <si>
    <t xml:space="preserve">    0.0761</t>
  </si>
  <si>
    <t xml:space="preserve">    0.0719</t>
  </si>
  <si>
    <t xml:space="preserve">  920.4734</t>
  </si>
  <si>
    <t xml:space="preserve">    0.3360</t>
  </si>
  <si>
    <t xml:space="preserve">    0.1384</t>
  </si>
  <si>
    <t xml:space="preserve">    0.4119</t>
  </si>
  <si>
    <t xml:space="preserve">    4.7203</t>
  </si>
  <si>
    <t xml:space="preserve">   34.1085</t>
  </si>
  <si>
    <t xml:space="preserve">    7.0245</t>
  </si>
  <si>
    <t xml:space="preserve">    0.0837</t>
  </si>
  <si>
    <t xml:space="preserve">    1.5492</t>
  </si>
  <si>
    <t xml:space="preserve">    0.1120</t>
  </si>
  <si>
    <t xml:space="preserve">    0.1736</t>
  </si>
  <si>
    <t xml:space="preserve">    0.1631</t>
  </si>
  <si>
    <t xml:space="preserve">    0.0130</t>
  </si>
  <si>
    <t xml:space="preserve">    0.1701</t>
  </si>
  <si>
    <t xml:space="preserve">    0.1605</t>
  </si>
  <si>
    <t xml:space="preserve">   -0.0157</t>
  </si>
  <si>
    <t>DK0:[MICROCT.DATA.00000700.00018053]</t>
  </si>
  <si>
    <t xml:space="preserve">    0.6851</t>
  </si>
  <si>
    <t xml:space="preserve">    0.4139</t>
  </si>
  <si>
    <t xml:space="preserve">  221.1391</t>
  </si>
  <si>
    <t xml:space="preserve">   -0.1671</t>
  </si>
  <si>
    <t xml:space="preserve">    6.6170</t>
  </si>
  <si>
    <t xml:space="preserve">    0.0712</t>
  </si>
  <si>
    <t xml:space="preserve">    0.1487</t>
  </si>
  <si>
    <t xml:space="preserve">    0.0645</t>
  </si>
  <si>
    <t xml:space="preserve">    0.0638</t>
  </si>
  <si>
    <t xml:space="preserve">  914.2950</t>
  </si>
  <si>
    <t xml:space="preserve">    0.6468</t>
  </si>
  <si>
    <t xml:space="preserve">    0.4274</t>
  </si>
  <si>
    <t xml:space="preserve">    8.7173</t>
  </si>
  <si>
    <t xml:space="preserve">   31.5348</t>
  </si>
  <si>
    <t xml:space="preserve">    6.7391</t>
  </si>
  <si>
    <t xml:space="preserve">    0.0634</t>
  </si>
  <si>
    <t xml:space="preserve">    1.3286</t>
  </si>
  <si>
    <t xml:space="preserve">    0.1316</t>
  </si>
  <si>
    <t xml:space="preserve">    0.1748</t>
  </si>
  <si>
    <t xml:space="preserve">    0.1469</t>
  </si>
  <si>
    <t xml:space="preserve">    0.0150</t>
  </si>
  <si>
    <t xml:space="preserve">   -0.1303</t>
  </si>
  <si>
    <t xml:space="preserve">    0.1163</t>
  </si>
  <si>
    <t xml:space="preserve">    0.1304</t>
  </si>
  <si>
    <t xml:space="preserve">    0.0027</t>
  </si>
  <si>
    <t xml:space="preserve">   -0.1084</t>
  </si>
  <si>
    <t xml:space="preserve">    0.0971</t>
  </si>
  <si>
    <t xml:space="preserve">   -0.0204</t>
  </si>
  <si>
    <t>A00OA71R</t>
  </si>
  <si>
    <t xml:space="preserve">    0.3527</t>
  </si>
  <si>
    <t xml:space="preserve">    0.3910</t>
  </si>
  <si>
    <t xml:space="preserve">  235.3128</t>
  </si>
  <si>
    <t xml:space="preserve">    0.7046</t>
  </si>
  <si>
    <t xml:space="preserve">    5.8248</t>
  </si>
  <si>
    <t xml:space="preserve">    0.0737</t>
  </si>
  <si>
    <t xml:space="preserve">    0.0909</t>
  </si>
  <si>
    <t xml:space="preserve">    0.0280</t>
  </si>
  <si>
    <t xml:space="preserve">    0.0843</t>
  </si>
  <si>
    <t xml:space="preserve">  919.6011</t>
  </si>
  <si>
    <t xml:space="preserve">    0.3300</t>
  </si>
  <si>
    <t xml:space="preserve">    0.1323</t>
  </si>
  <si>
    <t xml:space="preserve">    0.4010</t>
  </si>
  <si>
    <t xml:space="preserve">    4.3631</t>
  </si>
  <si>
    <t xml:space="preserve">   32.9702</t>
  </si>
  <si>
    <t xml:space="preserve">    6.6107</t>
  </si>
  <si>
    <t xml:space="preserve">    0.0607</t>
  </si>
  <si>
    <t xml:space="preserve">    0.0906</t>
  </si>
  <si>
    <t xml:space="preserve">    1.5910</t>
  </si>
  <si>
    <t xml:space="preserve">    0.1190</t>
  </si>
  <si>
    <t xml:space="preserve">    0.1893</t>
  </si>
  <si>
    <t xml:space="preserve">    0.1694</t>
  </si>
  <si>
    <t xml:space="preserve">   -0.0209</t>
  </si>
  <si>
    <t xml:space="preserve">   -0.0261</t>
  </si>
  <si>
    <t xml:space="preserve">    0.0864</t>
  </si>
  <si>
    <t xml:space="preserve">    0.1601</t>
  </si>
  <si>
    <t xml:space="preserve">    0.0524</t>
  </si>
  <si>
    <t xml:space="preserve">   -0.1478</t>
  </si>
  <si>
    <t xml:space="preserve">    0.0824</t>
  </si>
  <si>
    <t xml:space="preserve">   -0.0082</t>
  </si>
  <si>
    <t>DK0:[MICROCT.DATA.00000700.00018054]</t>
  </si>
  <si>
    <t xml:space="preserve">    0.6622</t>
  </si>
  <si>
    <t xml:space="preserve">    0.2977</t>
  </si>
  <si>
    <t xml:space="preserve">    0.4495</t>
  </si>
  <si>
    <t xml:space="preserve">  235.5796</t>
  </si>
  <si>
    <t xml:space="preserve">   -0.2714</t>
  </si>
  <si>
    <t xml:space="preserve">    7.0171</t>
  </si>
  <si>
    <t xml:space="preserve">    0.1506</t>
  </si>
  <si>
    <t xml:space="preserve">    0.0640</t>
  </si>
  <si>
    <t xml:space="preserve">  909.4976</t>
  </si>
  <si>
    <t xml:space="preserve">    0.6203</t>
  </si>
  <si>
    <t xml:space="preserve">    0.2910</t>
  </si>
  <si>
    <t xml:space="preserve">    0.4691</t>
  </si>
  <si>
    <t xml:space="preserve">    8.8942</t>
  </si>
  <si>
    <t xml:space="preserve">   30.5626</t>
  </si>
  <si>
    <t xml:space="preserve">    7.1687</t>
  </si>
  <si>
    <t xml:space="preserve">    0.0654</t>
  </si>
  <si>
    <t xml:space="preserve">    0.0741</t>
  </si>
  <si>
    <t xml:space="preserve">    1.3879</t>
  </si>
  <si>
    <t xml:space="preserve">    0.1539</t>
  </si>
  <si>
    <t xml:space="preserve">   -0.0121</t>
  </si>
  <si>
    <t xml:space="preserve">    0.1149</t>
  </si>
  <si>
    <t xml:space="preserve">   -0.0354</t>
  </si>
  <si>
    <t xml:space="preserve">    0.0051</t>
  </si>
  <si>
    <t xml:space="preserve">   -0.0332</t>
  </si>
  <si>
    <t xml:space="preserve">   -0.1492</t>
  </si>
  <si>
    <t xml:space="preserve">   -0.0175</t>
  </si>
  <si>
    <t>A00OA72L</t>
  </si>
  <si>
    <t xml:space="preserve">    0.5035</t>
  </si>
  <si>
    <t xml:space="preserve">    0.4453</t>
  </si>
  <si>
    <t xml:space="preserve">  254.2180</t>
  </si>
  <si>
    <t xml:space="preserve">    0.1449</t>
  </si>
  <si>
    <t xml:space="preserve">    6.1175</t>
  </si>
  <si>
    <t xml:space="preserve">    0.1797</t>
  </si>
  <si>
    <t xml:space="preserve">    0.0934</t>
  </si>
  <si>
    <t xml:space="preserve">  941.5527</t>
  </si>
  <si>
    <t xml:space="preserve">    0.4710</t>
  </si>
  <si>
    <t xml:space="preserve">    0.2176</t>
  </si>
  <si>
    <t xml:space="preserve">    0.4619</t>
  </si>
  <si>
    <t xml:space="preserve">    6.7728</t>
  </si>
  <si>
    <t xml:space="preserve">   31.1277</t>
  </si>
  <si>
    <t xml:space="preserve">    7.1891</t>
  </si>
  <si>
    <t xml:space="preserve">    0.0748</t>
  </si>
  <si>
    <t xml:space="preserve">    1.7205</t>
  </si>
  <si>
    <t xml:space="preserve">    0.1068</t>
  </si>
  <si>
    <t xml:space="preserve">    0.1837</t>
  </si>
  <si>
    <t xml:space="preserve">    0.1560</t>
  </si>
  <si>
    <t xml:space="preserve">   -0.0013</t>
  </si>
  <si>
    <t xml:space="preserve">   -0.0171</t>
  </si>
  <si>
    <t xml:space="preserve">   -0.1054</t>
  </si>
  <si>
    <t xml:space="preserve">    0.0412</t>
  </si>
  <si>
    <t xml:space="preserve">   -0.1768</t>
  </si>
  <si>
    <t xml:space="preserve">    0.0282</t>
  </si>
  <si>
    <t xml:space="preserve">    0.1520</t>
  </si>
  <si>
    <t xml:space="preserve">   -0.0074</t>
  </si>
  <si>
    <t>DK0:[MICROCT.DATA.00000700.00018055]</t>
  </si>
  <si>
    <t xml:space="preserve">    0.6962</t>
  </si>
  <si>
    <t xml:space="preserve">    0.2777</t>
  </si>
  <si>
    <t xml:space="preserve">    0.3989</t>
  </si>
  <si>
    <t xml:space="preserve">  270.7565</t>
  </si>
  <si>
    <t xml:space="preserve">    0.0485</t>
  </si>
  <si>
    <t xml:space="preserve">    6.5301</t>
  </si>
  <si>
    <t xml:space="preserve">    0.0682</t>
  </si>
  <si>
    <t xml:space="preserve">    0.1538</t>
  </si>
  <si>
    <t xml:space="preserve">    0.0707</t>
  </si>
  <si>
    <t xml:space="preserve">    0.0251</t>
  </si>
  <si>
    <t xml:space="preserve">  918.0748</t>
  </si>
  <si>
    <t xml:space="preserve">    0.6512</t>
  </si>
  <si>
    <t xml:space="preserve">    0.2686</t>
  </si>
  <si>
    <t xml:space="preserve">    0.4125</t>
  </si>
  <si>
    <t xml:space="preserve">    9.1090</t>
  </si>
  <si>
    <t xml:space="preserve">   33.9102</t>
  </si>
  <si>
    <t xml:space="preserve">    6.9937</t>
  </si>
  <si>
    <t xml:space="preserve">    0.0590</t>
  </si>
  <si>
    <t xml:space="preserve">    0.0840</t>
  </si>
  <si>
    <t xml:space="preserve">    1.4170</t>
  </si>
  <si>
    <t xml:space="preserve">    0.1189</t>
  </si>
  <si>
    <t xml:space="preserve">    0.1685</t>
  </si>
  <si>
    <t xml:space="preserve">   -0.0027</t>
  </si>
  <si>
    <t xml:space="preserve">    0.0040</t>
  </si>
  <si>
    <t xml:space="preserve">   -0.1067</t>
  </si>
  <si>
    <t xml:space="preserve">   -0.1304</t>
  </si>
  <si>
    <t xml:space="preserve">   -0.1191</t>
  </si>
  <si>
    <t xml:space="preserve">    0.0974</t>
  </si>
  <si>
    <t xml:space="preserve">   -0.0060</t>
  </si>
  <si>
    <t>A00OA72R</t>
  </si>
  <si>
    <t xml:space="preserve">    0.4231</t>
  </si>
  <si>
    <t xml:space="preserve">    0.1662</t>
  </si>
  <si>
    <t xml:space="preserve">    0.3929</t>
  </si>
  <si>
    <t xml:space="preserve">  309.6522</t>
  </si>
  <si>
    <t xml:space="preserve">    0.4452</t>
  </si>
  <si>
    <t xml:space="preserve">    5.7196</t>
  </si>
  <si>
    <t xml:space="preserve">    0.0673</t>
  </si>
  <si>
    <t xml:space="preserve">    0.1987</t>
  </si>
  <si>
    <t xml:space="preserve">    0.1046</t>
  </si>
  <si>
    <t xml:space="preserve">    0.1093</t>
  </si>
  <si>
    <t xml:space="preserve">  923.8897</t>
  </si>
  <si>
    <t xml:space="preserve">    0.3930</t>
  </si>
  <si>
    <t xml:space="preserve">    0.1599</t>
  </si>
  <si>
    <t xml:space="preserve">    0.4068</t>
  </si>
  <si>
    <t xml:space="preserve">    5.7321</t>
  </si>
  <si>
    <t xml:space="preserve">   35.8536</t>
  </si>
  <si>
    <t xml:space="preserve">    7.2934</t>
  </si>
  <si>
    <t xml:space="preserve">    0.0558</t>
  </si>
  <si>
    <t xml:space="preserve">    0.0813</t>
  </si>
  <si>
    <t xml:space="preserve">    1.8514</t>
  </si>
  <si>
    <t xml:space="preserve">    0.1020</t>
  </si>
  <si>
    <t xml:space="preserve">    0.1579</t>
  </si>
  <si>
    <t xml:space="preserve">   -0.0022</t>
  </si>
  <si>
    <t xml:space="preserve">   -0.0126</t>
  </si>
  <si>
    <t xml:space="preserve">    0.1012</t>
  </si>
  <si>
    <t xml:space="preserve">   -0.1838</t>
  </si>
  <si>
    <t xml:space="preserve">   -0.0236</t>
  </si>
  <si>
    <t xml:space="preserve">   -0.1548</t>
  </si>
  <si>
    <t xml:space="preserve">    0.0004</t>
  </si>
  <si>
    <t>DK0:[MICROCT.DATA.00000700.00018056]</t>
  </si>
  <si>
    <t xml:space="preserve">    0.6694</t>
  </si>
  <si>
    <t xml:space="preserve">    0.2842</t>
  </si>
  <si>
    <t xml:space="preserve">    0.4245</t>
  </si>
  <si>
    <t xml:space="preserve">  318.1906</t>
  </si>
  <si>
    <t xml:space="preserve">   -0.1727</t>
  </si>
  <si>
    <t xml:space="preserve">    6.8449</t>
  </si>
  <si>
    <t xml:space="preserve">    0.0671</t>
  </si>
  <si>
    <t xml:space="preserve">    0.1438</t>
  </si>
  <si>
    <t xml:space="preserve">    0.0574</t>
  </si>
  <si>
    <t xml:space="preserve">  888.6365</t>
  </si>
  <si>
    <t xml:space="preserve">    0.6269</t>
  </si>
  <si>
    <t xml:space="preserve">    0.2767</t>
  </si>
  <si>
    <t xml:space="preserve">    0.4414</t>
  </si>
  <si>
    <t xml:space="preserve">    9.4509</t>
  </si>
  <si>
    <t xml:space="preserve">   34.1555</t>
  </si>
  <si>
    <t xml:space="preserve">    7.5379</t>
  </si>
  <si>
    <t xml:space="preserve">    1.4794</t>
  </si>
  <si>
    <t xml:space="preserve">    0.1076</t>
  </si>
  <si>
    <t xml:space="preserve">    0.1592</t>
  </si>
  <si>
    <t xml:space="preserve">    0.1464</t>
  </si>
  <si>
    <t xml:space="preserve">    0.0074</t>
  </si>
  <si>
    <t xml:space="preserve">   -0.0110</t>
  </si>
  <si>
    <t xml:space="preserve">    0.1335</t>
  </si>
  <si>
    <t xml:space="preserve">    0.0867</t>
  </si>
  <si>
    <t xml:space="preserve">   -0.0003</t>
  </si>
  <si>
    <t xml:space="preserve">    0.0791</t>
  </si>
  <si>
    <t xml:space="preserve">   -0.1219</t>
  </si>
  <si>
    <t xml:space="preserve">   -0.0180</t>
  </si>
  <si>
    <t>A00OA73L</t>
  </si>
  <si>
    <t xml:space="preserve">    0.5528</t>
  </si>
  <si>
    <t xml:space="preserve">    0.2377</t>
  </si>
  <si>
    <t xml:space="preserve">    0.4301</t>
  </si>
  <si>
    <t xml:space="preserve">  259.6077</t>
  </si>
  <si>
    <t xml:space="preserve">    6.5215</t>
  </si>
  <si>
    <t xml:space="preserve">    0.0731</t>
  </si>
  <si>
    <t xml:space="preserve">    0.1612</t>
  </si>
  <si>
    <t xml:space="preserve">    0.0722</t>
  </si>
  <si>
    <t xml:space="preserve">    0.0699</t>
  </si>
  <si>
    <t xml:space="preserve">  953.4006</t>
  </si>
  <si>
    <t xml:space="preserve">    0.5179</t>
  </si>
  <si>
    <t xml:space="preserve">    0.4468</t>
  </si>
  <si>
    <t xml:space="preserve">    7.6111</t>
  </si>
  <si>
    <t xml:space="preserve">   32.8860</t>
  </si>
  <si>
    <t xml:space="preserve">    7.3473</t>
  </si>
  <si>
    <t xml:space="preserve">    0.0608</t>
  </si>
  <si>
    <t xml:space="preserve">    0.0753</t>
  </si>
  <si>
    <t xml:space="preserve">    1.6340</t>
  </si>
  <si>
    <t xml:space="preserve">    0.1083</t>
  </si>
  <si>
    <t xml:space="preserve">    0.1770</t>
  </si>
  <si>
    <t xml:space="preserve">    0.1452</t>
  </si>
  <si>
    <t xml:space="preserve">   -0.0133</t>
  </si>
  <si>
    <t xml:space="preserve">    0.1075</t>
  </si>
  <si>
    <t xml:space="preserve">    0.0228</t>
  </si>
  <si>
    <t xml:space="preserve">   -0.1741</t>
  </si>
  <si>
    <t xml:space="preserve">   -0.0221</t>
  </si>
  <si>
    <t xml:space="preserve">   -0.1440</t>
  </si>
  <si>
    <t xml:space="preserve">   -0.0190</t>
  </si>
  <si>
    <t>DK0:[MICROCT.DATA.00000700.00018057]</t>
  </si>
  <si>
    <t xml:space="preserve">    0.7352</t>
  </si>
  <si>
    <t xml:space="preserve">    0.3638</t>
  </si>
  <si>
    <t xml:space="preserve">  216.9594</t>
  </si>
  <si>
    <t xml:space="preserve">    5.8813</t>
  </si>
  <si>
    <t xml:space="preserve">    0.0667</t>
  </si>
  <si>
    <t xml:space="preserve">    0.0775</t>
  </si>
  <si>
    <t xml:space="preserve">  947.1495</t>
  </si>
  <si>
    <t xml:space="preserve">    0.6944</t>
  </si>
  <si>
    <t xml:space="preserve">    0.2588</t>
  </si>
  <si>
    <t xml:space="preserve">    0.3727</t>
  </si>
  <si>
    <t xml:space="preserve">    8.9684</t>
  </si>
  <si>
    <t xml:space="preserve">   34.6509</t>
  </si>
  <si>
    <t xml:space="preserve">    6.4578</t>
  </si>
  <si>
    <t xml:space="preserve">    0.0577</t>
  </si>
  <si>
    <t xml:space="preserve">    1.2869</t>
  </si>
  <si>
    <t xml:space="preserve">    0.1376</t>
  </si>
  <si>
    <t xml:space="preserve">    0.1565</t>
  </si>
  <si>
    <t xml:space="preserve">    0.0112</t>
  </si>
  <si>
    <t xml:space="preserve">    0.0022</t>
  </si>
  <si>
    <t xml:space="preserve">    0.1371</t>
  </si>
  <si>
    <t xml:space="preserve">    0.1718</t>
  </si>
  <si>
    <t xml:space="preserve">   -0.0406</t>
  </si>
  <si>
    <t xml:space="preserve">    0.0356</t>
  </si>
  <si>
    <t xml:space="preserve">    0.1523</t>
  </si>
  <si>
    <t xml:space="preserve">   -0.0053</t>
  </si>
  <si>
    <t>A00OA73R</t>
  </si>
  <si>
    <t xml:space="preserve">    0.5887</t>
  </si>
  <si>
    <t xml:space="preserve">    0.2404</t>
  </si>
  <si>
    <t xml:space="preserve">    0.4084</t>
  </si>
  <si>
    <t xml:space="preserve">  177.5066</t>
  </si>
  <si>
    <t xml:space="preserve">   -0.1619</t>
  </si>
  <si>
    <t xml:space="preserve">    5.5951</t>
  </si>
  <si>
    <t xml:space="preserve">    0.1932</t>
  </si>
  <si>
    <t xml:space="preserve">    0.0891</t>
  </si>
  <si>
    <t xml:space="preserve">    0.0845</t>
  </si>
  <si>
    <t xml:space="preserve">  965.9755</t>
  </si>
  <si>
    <t xml:space="preserve">    0.5558</t>
  </si>
  <si>
    <t xml:space="preserve">    0.2356</t>
  </si>
  <si>
    <t xml:space="preserve">    0.4239</t>
  </si>
  <si>
    <t xml:space="preserve">    7.4411</t>
  </si>
  <si>
    <t xml:space="preserve">   31.5857</t>
  </si>
  <si>
    <t xml:space="preserve">    6.6940</t>
  </si>
  <si>
    <t xml:space="preserve">    0.0633</t>
  </si>
  <si>
    <t xml:space="preserve">    0.0861</t>
  </si>
  <si>
    <t xml:space="preserve">    1.6963</t>
  </si>
  <si>
    <t xml:space="preserve">    0.1150</t>
  </si>
  <si>
    <t xml:space="preserve">    0.1951</t>
  </si>
  <si>
    <t xml:space="preserve">    0.1683</t>
  </si>
  <si>
    <t xml:space="preserve">    0.0138</t>
  </si>
  <si>
    <t xml:space="preserve">   -0.0149</t>
  </si>
  <si>
    <t xml:space="preserve">   -0.1691</t>
  </si>
  <si>
    <t xml:space="preserve">    0.0916</t>
  </si>
  <si>
    <t xml:space="preserve">    0.0327</t>
  </si>
  <si>
    <t xml:space="preserve">    0.0095</t>
  </si>
  <si>
    <t>DK0:[MICROCT.DATA.00000700.00018058]</t>
  </si>
  <si>
    <t xml:space="preserve">    0.7625</t>
  </si>
  <si>
    <t xml:space="preserve">    0.3679</t>
  </si>
  <si>
    <t xml:space="preserve">  250.4782</t>
  </si>
  <si>
    <t xml:space="preserve">    0.0714</t>
  </si>
  <si>
    <t xml:space="preserve">    6.4039</t>
  </si>
  <si>
    <t xml:space="preserve">    0.0653</t>
  </si>
  <si>
    <t xml:space="preserve">    0.1562</t>
  </si>
  <si>
    <t xml:space="preserve">    0.0648</t>
  </si>
  <si>
    <t xml:space="preserve">  920.3281</t>
  </si>
  <si>
    <t xml:space="preserve">    0.7155</t>
  </si>
  <si>
    <t xml:space="preserve">    0.2724</t>
  </si>
  <si>
    <t xml:space="preserve">    0.3807</t>
  </si>
  <si>
    <t xml:space="preserve">    9.7072</t>
  </si>
  <si>
    <t xml:space="preserve">   35.6420</t>
  </si>
  <si>
    <t xml:space="preserve">    6.7837</t>
  </si>
  <si>
    <t xml:space="preserve">    0.0561</t>
  </si>
  <si>
    <t xml:space="preserve">    0.0913</t>
  </si>
  <si>
    <t xml:space="preserve">    1.3946</t>
  </si>
  <si>
    <t xml:space="preserve">    0.1239</t>
  </si>
  <si>
    <t xml:space="preserve">    0.1728</t>
  </si>
  <si>
    <t xml:space="preserve">    0.1571</t>
  </si>
  <si>
    <t xml:space="preserve">    0.0143</t>
  </si>
  <si>
    <t xml:space="preserve">   -0.0006</t>
  </si>
  <si>
    <t xml:space="preserve">    0.1231</t>
  </si>
  <si>
    <t xml:space="preserve">   -0.0078</t>
  </si>
  <si>
    <t xml:space="preserve">   -0.1463</t>
  </si>
  <si>
    <t xml:space="preserve">   -0.0548</t>
  </si>
  <si>
    <t xml:space="preserve">    0.0167</t>
  </si>
  <si>
    <t>A00OA74L</t>
  </si>
  <si>
    <t xml:space="preserve">    0.5590</t>
  </si>
  <si>
    <t xml:space="preserve">    0.2199</t>
  </si>
  <si>
    <t xml:space="preserve">    0.3934</t>
  </si>
  <si>
    <t xml:space="preserve">  208.4048</t>
  </si>
  <si>
    <t xml:space="preserve">   -0.0769</t>
  </si>
  <si>
    <t xml:space="preserve">    5.6008</t>
  </si>
  <si>
    <t xml:space="preserve">    0.0773</t>
  </si>
  <si>
    <t xml:space="preserve">    0.1929</t>
  </si>
  <si>
    <t xml:space="preserve">    0.0903</t>
  </si>
  <si>
    <t xml:space="preserve">    0.0857</t>
  </si>
  <si>
    <t xml:space="preserve">  958.4161</t>
  </si>
  <si>
    <t xml:space="preserve">    0.5263</t>
  </si>
  <si>
    <t xml:space="preserve">    0.2144</t>
  </si>
  <si>
    <t xml:space="preserve">    0.4073</t>
  </si>
  <si>
    <t xml:space="preserve">    6.7731</t>
  </si>
  <si>
    <t xml:space="preserve">   31.5980</t>
  </si>
  <si>
    <t xml:space="preserve">    6.4343</t>
  </si>
  <si>
    <t xml:space="preserve">    1.6424</t>
  </si>
  <si>
    <t xml:space="preserve">    0.1238</t>
  </si>
  <si>
    <t xml:space="preserve">    0.1650</t>
  </si>
  <si>
    <t xml:space="preserve">    0.0073</t>
  </si>
  <si>
    <t xml:space="preserve">   -0.0113</t>
  </si>
  <si>
    <t xml:space="preserve">   -0.0790</t>
  </si>
  <si>
    <t xml:space="preserve">   -0.1869</t>
  </si>
  <si>
    <t xml:space="preserve">   -0.0125</t>
  </si>
  <si>
    <t xml:space="preserve">   -0.1517</t>
  </si>
  <si>
    <t xml:space="preserve">    0.0148</t>
  </si>
  <si>
    <t>DK0:[MICROCT.DATA.00000700.00018059]</t>
  </si>
  <si>
    <t xml:space="preserve">    0.8351</t>
  </si>
  <si>
    <t xml:space="preserve">    0.3403</t>
  </si>
  <si>
    <t xml:space="preserve">  240.6902</t>
  </si>
  <si>
    <t xml:space="preserve">    0.1460</t>
  </si>
  <si>
    <t xml:space="preserve">    5.7374</t>
  </si>
  <si>
    <t xml:space="preserve">    0.1741</t>
  </si>
  <si>
    <t xml:space="preserve">    0.0236</t>
  </si>
  <si>
    <t xml:space="preserve">  900.0484</t>
  </si>
  <si>
    <t xml:space="preserve">    0.7882</t>
  </si>
  <si>
    <t xml:space="preserve">    0.2748</t>
  </si>
  <si>
    <t xml:space="preserve">    0.3487</t>
  </si>
  <si>
    <t xml:space="preserve">    9.9360</t>
  </si>
  <si>
    <t xml:space="preserve">   36.1524</t>
  </si>
  <si>
    <t xml:space="preserve">    6.3029</t>
  </si>
  <si>
    <t xml:space="preserve">    0.1033</t>
  </si>
  <si>
    <t xml:space="preserve">    1.3033</t>
  </si>
  <si>
    <t xml:space="preserve">    0.1810</t>
  </si>
  <si>
    <t xml:space="preserve">    0.1635</t>
  </si>
  <si>
    <t xml:space="preserve">    0.0055</t>
  </si>
  <si>
    <t xml:space="preserve">    0.1388</t>
  </si>
  <si>
    <t xml:space="preserve">   -0.1115</t>
  </si>
  <si>
    <t xml:space="preserve">   -0.0075</t>
  </si>
  <si>
    <t xml:space="preserve">   -0.1007</t>
  </si>
  <si>
    <t xml:space="preserve">   -0.1288</t>
  </si>
  <si>
    <t xml:space="preserve">    0.0019</t>
  </si>
  <si>
    <t>A00OA74R</t>
  </si>
  <si>
    <t xml:space="preserve">    0.5760</t>
  </si>
  <si>
    <t xml:space="preserve">    0.2287</t>
  </si>
  <si>
    <t xml:space="preserve">    0.3971</t>
  </si>
  <si>
    <t xml:space="preserve">  231.7741</t>
  </si>
  <si>
    <t xml:space="preserve">    0.0169</t>
  </si>
  <si>
    <t xml:space="preserve">    5.7074</t>
  </si>
  <si>
    <t xml:space="preserve">    0.0948</t>
  </si>
  <si>
    <t xml:space="preserve">    0.0298</t>
  </si>
  <si>
    <t xml:space="preserve">    0.0968</t>
  </si>
  <si>
    <t xml:space="preserve">  948.2398</t>
  </si>
  <si>
    <t xml:space="preserve">    0.5400</t>
  </si>
  <si>
    <t xml:space="preserve">    0.2219</t>
  </si>
  <si>
    <t xml:space="preserve">    0.4110</t>
  </si>
  <si>
    <t xml:space="preserve">    7.1130</t>
  </si>
  <si>
    <t xml:space="preserve">   32.0480</t>
  </si>
  <si>
    <t xml:space="preserve">    6.5857</t>
  </si>
  <si>
    <t xml:space="preserve">    0.0894</t>
  </si>
  <si>
    <t xml:space="preserve">    1.6788</t>
  </si>
  <si>
    <t xml:space="preserve">    0.1200</t>
  </si>
  <si>
    <t xml:space="preserve">    0.2014</t>
  </si>
  <si>
    <t xml:space="preserve">    0.1616</t>
  </si>
  <si>
    <t xml:space="preserve">    0.0164</t>
  </si>
  <si>
    <t xml:space="preserve">    0.0005</t>
  </si>
  <si>
    <t xml:space="preserve">    0.1681</t>
  </si>
  <si>
    <t xml:space="preserve">   -0.1086</t>
  </si>
  <si>
    <t xml:space="preserve">   -0.0228</t>
  </si>
  <si>
    <t xml:space="preserve">   -0.0862</t>
  </si>
  <si>
    <t xml:space="preserve">   -0.1361</t>
  </si>
  <si>
    <t>DK0:[MICROCT.DATA.00000700.00018060]</t>
  </si>
  <si>
    <t xml:space="preserve">    0.7732</t>
  </si>
  <si>
    <t xml:space="preserve">    0.2744</t>
  </si>
  <si>
    <t xml:space="preserve">    0.3549</t>
  </si>
  <si>
    <t xml:space="preserve">  264.4901</t>
  </si>
  <si>
    <t xml:space="preserve">   -0.1832</t>
  </si>
  <si>
    <t xml:space="preserve">    5.4560</t>
  </si>
  <si>
    <t xml:space="preserve">    0.0888</t>
  </si>
  <si>
    <t xml:space="preserve">    0.0210</t>
  </si>
  <si>
    <t xml:space="preserve">    0.0883</t>
  </si>
  <si>
    <t xml:space="preserve">  918.4382</t>
  </si>
  <si>
    <t xml:space="preserve">    0.7325</t>
  </si>
  <si>
    <t xml:space="preserve">    0.2675</t>
  </si>
  <si>
    <t xml:space="preserve">    0.3652</t>
  </si>
  <si>
    <t xml:space="preserve">    9.3558</t>
  </si>
  <si>
    <t xml:space="preserve">   34.9686</t>
  </si>
  <si>
    <t xml:space="preserve">    6.3861</t>
  </si>
  <si>
    <t xml:space="preserve">    0.0572</t>
  </si>
  <si>
    <t xml:space="preserve">    0.0994</t>
  </si>
  <si>
    <t xml:space="preserve">    1.3576</t>
  </si>
  <si>
    <t xml:space="preserve">    0.1367</t>
  </si>
  <si>
    <t xml:space="preserve">    0.1856</t>
  </si>
  <si>
    <t xml:space="preserve">    0.1570</t>
  </si>
  <si>
    <t xml:space="preserve">   -0.0119</t>
  </si>
  <si>
    <t xml:space="preserve">    0.1361</t>
  </si>
  <si>
    <t xml:space="preserve">    0.0060</t>
  </si>
  <si>
    <t xml:space="preserve">   -0.1848</t>
  </si>
  <si>
    <t xml:space="preserve">   -0.0162</t>
  </si>
  <si>
    <t xml:space="preserve">   -0.1569</t>
  </si>
  <si>
    <t>A00OA75L</t>
  </si>
  <si>
    <t xml:space="preserve">    0.7493</t>
  </si>
  <si>
    <t xml:space="preserve">    0.1713</t>
  </si>
  <si>
    <t xml:space="preserve">    0.2286</t>
  </si>
  <si>
    <t xml:space="preserve">   86.0840</t>
  </si>
  <si>
    <t xml:space="preserve">    0.7525</t>
  </si>
  <si>
    <t xml:space="preserve">    4.2865</t>
  </si>
  <si>
    <t xml:space="preserve">    0.0637</t>
  </si>
  <si>
    <t xml:space="preserve">    0.2340</t>
  </si>
  <si>
    <t xml:space="preserve">    0.0873</t>
  </si>
  <si>
    <t xml:space="preserve">    0.0770</t>
  </si>
  <si>
    <t xml:space="preserve">  971.4269</t>
  </si>
  <si>
    <t xml:space="preserve">    0.7167</t>
  </si>
  <si>
    <t xml:space="preserve">    0.1645</t>
  </si>
  <si>
    <t xml:space="preserve">    0.2296</t>
  </si>
  <si>
    <t xml:space="preserve">    6.0771</t>
  </si>
  <si>
    <t xml:space="preserve">   36.9355</t>
  </si>
  <si>
    <t xml:space="preserve">    4.2399</t>
  </si>
  <si>
    <t xml:space="preserve">    0.0541</t>
  </si>
  <si>
    <t xml:space="preserve">    1.3532</t>
  </si>
  <si>
    <t xml:space="preserve">    0.2802</t>
  </si>
  <si>
    <t xml:space="preserve">    0.2344</t>
  </si>
  <si>
    <t xml:space="preserve">   -0.1700</t>
  </si>
  <si>
    <t xml:space="preserve">    0.2501</t>
  </si>
  <si>
    <t xml:space="preserve">    0.0882</t>
  </si>
  <si>
    <t xml:space="preserve">   -0.0905</t>
  </si>
  <si>
    <t xml:space="preserve">   -0.0342</t>
  </si>
  <si>
    <t xml:space="preserve">   -0.1116</t>
  </si>
  <si>
    <t xml:space="preserve">   -0.2033</t>
  </si>
  <si>
    <t>DK0:[MICROCT.DATA.00000700.00018061]</t>
  </si>
  <si>
    <t xml:space="preserve">    1.0697</t>
  </si>
  <si>
    <t xml:space="preserve">    0.1935</t>
  </si>
  <si>
    <t xml:space="preserve">    0.1809</t>
  </si>
  <si>
    <t xml:space="preserve">  173.4136</t>
  </si>
  <si>
    <t xml:space="preserve">    0.9855</t>
  </si>
  <si>
    <t xml:space="preserve">    4.0995</t>
  </si>
  <si>
    <t xml:space="preserve">    0.0471</t>
  </si>
  <si>
    <t xml:space="preserve">    0.2390</t>
  </si>
  <si>
    <t xml:space="preserve">    0.1072</t>
  </si>
  <si>
    <t xml:space="preserve">    0.0156</t>
  </si>
  <si>
    <t xml:space="preserve">    0.1011</t>
  </si>
  <si>
    <t>~  922.944</t>
  </si>
  <si>
    <t xml:space="preserve">    1.0273</t>
  </si>
  <si>
    <t xml:space="preserve">    0.1848</t>
  </si>
  <si>
    <t xml:space="preserve">    0.1799</t>
  </si>
  <si>
    <t xml:space="preserve">    9.0490</t>
  </si>
  <si>
    <t xml:space="preserve">   48.9653</t>
  </si>
  <si>
    <t xml:space="preserve">    4.4041</t>
  </si>
  <si>
    <t xml:space="preserve">    0.0408</t>
  </si>
  <si>
    <t xml:space="preserve">    0.1862</t>
  </si>
  <si>
    <t xml:space="preserve">    1.4991</t>
  </si>
  <si>
    <t xml:space="preserve">    0.1860</t>
  </si>
  <si>
    <t xml:space="preserve">    0.2419</t>
  </si>
  <si>
    <t xml:space="preserve">    0.1397</t>
  </si>
  <si>
    <t xml:space="preserve">   -0.1209</t>
  </si>
  <si>
    <t xml:space="preserve">   -0.0214</t>
  </si>
  <si>
    <t xml:space="preserve">   -0.1690</t>
  </si>
  <si>
    <t xml:space="preserve">   -0.2086</t>
  </si>
  <si>
    <t xml:space="preserve">   -0.0634</t>
  </si>
  <si>
    <t xml:space="preserve">   -0.0323</t>
  </si>
  <si>
    <t xml:space="preserve">   -0.2312</t>
  </si>
  <si>
    <t>A00OA75R</t>
  </si>
  <si>
    <t xml:space="preserve">    0.4994</t>
  </si>
  <si>
    <t xml:space="preserve">    0.2705</t>
  </si>
  <si>
    <t xml:space="preserve">  181.2181</t>
  </si>
  <si>
    <t xml:space="preserve">    0.5628</t>
  </si>
  <si>
    <t xml:space="preserve">    4.4946</t>
  </si>
  <si>
    <t xml:space="preserve">    0.2350</t>
  </si>
  <si>
    <t xml:space="preserve">    0.1187</t>
  </si>
  <si>
    <t xml:space="preserve">    0.0247</t>
  </si>
  <si>
    <t xml:space="preserve">    0.1028</t>
  </si>
  <si>
    <t xml:space="preserve">  992.4335</t>
  </si>
  <si>
    <t xml:space="preserve">    0.4699</t>
  </si>
  <si>
    <t xml:space="preserve">    0.2751</t>
  </si>
  <si>
    <t xml:space="preserve">    5.0264</t>
  </si>
  <si>
    <t xml:space="preserve">   38.8853</t>
  </si>
  <si>
    <t xml:space="preserve">    5.3482</t>
  </si>
  <si>
    <t xml:space="preserve">    1.4610</t>
  </si>
  <si>
    <t xml:space="preserve">    0.1597</t>
  </si>
  <si>
    <t xml:space="preserve">    0.2332</t>
  </si>
  <si>
    <t xml:space="preserve">    0.0276</t>
  </si>
  <si>
    <t xml:space="preserve">    0.0762</t>
  </si>
  <si>
    <t xml:space="preserve">   -0.2010</t>
  </si>
  <si>
    <t xml:space="preserve">   -0.0816</t>
  </si>
  <si>
    <t xml:space="preserve">   -0.0886</t>
  </si>
  <si>
    <t xml:space="preserve">    0.1498</t>
  </si>
  <si>
    <t xml:space="preserve">   -0.0652</t>
  </si>
  <si>
    <t>DK0:[MICROCT.DATA.00000700.00018062]</t>
  </si>
  <si>
    <t xml:space="preserve">    1.0641</t>
  </si>
  <si>
    <t xml:space="preserve">    0.1870</t>
  </si>
  <si>
    <t xml:space="preserve">  164.9205</t>
  </si>
  <si>
    <t xml:space="preserve">    0.8566</t>
  </si>
  <si>
    <t xml:space="preserve">    4.1362</t>
  </si>
  <si>
    <t xml:space="preserve">    0.0507</t>
  </si>
  <si>
    <t xml:space="preserve">    0.2449</t>
  </si>
  <si>
    <t xml:space="preserve">    0.0183</t>
  </si>
  <si>
    <t xml:space="preserve">    0.1018</t>
  </si>
  <si>
    <t>~  931.085</t>
  </si>
  <si>
    <t xml:space="preserve">    1.0241</t>
  </si>
  <si>
    <t xml:space="preserve">    0.1915</t>
  </si>
  <si>
    <t xml:space="preserve">    8.9205</t>
  </si>
  <si>
    <t xml:space="preserve">   46.5720</t>
  </si>
  <si>
    <t xml:space="preserve">    4.3554</t>
  </si>
  <si>
    <t xml:space="preserve">    0.0429</t>
  </si>
  <si>
    <t xml:space="preserve">    0.1867</t>
  </si>
  <si>
    <t xml:space="preserve">    1.3226</t>
  </si>
  <si>
    <t xml:space="preserve">    0.1977</t>
  </si>
  <si>
    <t xml:space="preserve">    0.2615</t>
  </si>
  <si>
    <t xml:space="preserve">    0.2423</t>
  </si>
  <si>
    <t xml:space="preserve">   -0.0449</t>
  </si>
  <si>
    <t xml:space="preserve">   -0.1847</t>
  </si>
  <si>
    <t xml:space="preserve">   -0.0542</t>
  </si>
  <si>
    <t xml:space="preserve">    0.2437</t>
  </si>
  <si>
    <t xml:space="preserve">   -0.0758</t>
  </si>
  <si>
    <t xml:space="preserve">    0.0566</t>
  </si>
  <si>
    <t xml:space="preserve">    0.0501</t>
  </si>
  <si>
    <t xml:space="preserve">   -0.2270</t>
  </si>
  <si>
    <t>A00OA76L</t>
  </si>
  <si>
    <t xml:space="preserve">    0.5957</t>
  </si>
  <si>
    <t xml:space="preserve">    0.2174</t>
  </si>
  <si>
    <t xml:space="preserve">  156.1179</t>
  </si>
  <si>
    <t xml:space="preserve">    0.9961</t>
  </si>
  <si>
    <t xml:space="preserve">    4.2703</t>
  </si>
  <si>
    <t xml:space="preserve">    0.0600</t>
  </si>
  <si>
    <t xml:space="preserve">    0.2490</t>
  </si>
  <si>
    <t xml:space="preserve">    0.0930</t>
  </si>
  <si>
    <t xml:space="preserve">    0.0783</t>
  </si>
  <si>
    <t>~  956.889</t>
  </si>
  <si>
    <t xml:space="preserve">    0.5598</t>
  </si>
  <si>
    <t xml:space="preserve">    0.1225</t>
  </si>
  <si>
    <t xml:space="preserve">    0.2189</t>
  </si>
  <si>
    <t xml:space="preserve">    5.2632</t>
  </si>
  <si>
    <t xml:space="preserve">   42.9570</t>
  </si>
  <si>
    <t xml:space="preserve">    4.7009</t>
  </si>
  <si>
    <t xml:space="preserve">    0.0466</t>
  </si>
  <si>
    <t xml:space="preserve">    1.5832</t>
  </si>
  <si>
    <t xml:space="preserve">    0.1666</t>
  </si>
  <si>
    <t xml:space="preserve">    0.2418</t>
  </si>
  <si>
    <t xml:space="preserve">    0.1659</t>
  </si>
  <si>
    <t xml:space="preserve">    0.1252</t>
  </si>
  <si>
    <t xml:space="preserve">   -0.2309</t>
  </si>
  <si>
    <t xml:space="preserve">    0.0237</t>
  </si>
  <si>
    <t xml:space="preserve">   -0.2124</t>
  </si>
  <si>
    <t xml:space="preserve">   -0.1155</t>
  </si>
  <si>
    <t>DK0:[MICROCT.DATA.00000700.00018063]</t>
  </si>
  <si>
    <t xml:space="preserve">    1.1930</t>
  </si>
  <si>
    <t xml:space="preserve">    0.1735</t>
  </si>
  <si>
    <t xml:space="preserve">    0.1454</t>
  </si>
  <si>
    <t xml:space="preserve">  135.3679</t>
  </si>
  <si>
    <t xml:space="preserve">    1.3019</t>
  </si>
  <si>
    <t xml:space="preserve">    3.9197</t>
  </si>
  <si>
    <t xml:space="preserve">    0.0475</t>
  </si>
  <si>
    <t xml:space="preserve">    0.2559</t>
  </si>
  <si>
    <t xml:space="preserve">    0.0831</t>
  </si>
  <si>
    <t xml:space="preserve">    0.0173</t>
  </si>
  <si>
    <t xml:space="preserve">    0.0803</t>
  </si>
  <si>
    <t>~  895.687</t>
  </si>
  <si>
    <t xml:space="preserve">    1.1407</t>
  </si>
  <si>
    <t xml:space="preserve">    0.1434</t>
  </si>
  <si>
    <t xml:space="preserve">    8.4647</t>
  </si>
  <si>
    <t xml:space="preserve">   51.7616</t>
  </si>
  <si>
    <t xml:space="preserve">    3.7103</t>
  </si>
  <si>
    <t xml:space="preserve">    1.2997</t>
  </si>
  <si>
    <t xml:space="preserve">    0.2357</t>
  </si>
  <si>
    <t xml:space="preserve">    0.3063</t>
  </si>
  <si>
    <t xml:space="preserve">    0.1898</t>
  </si>
  <si>
    <t xml:space="preserve">   -0.1348</t>
  </si>
  <si>
    <t xml:space="preserve">   -0.1677</t>
  </si>
  <si>
    <t xml:space="preserve">   -0.2507</t>
  </si>
  <si>
    <t xml:space="preserve">    0.0535</t>
  </si>
  <si>
    <t xml:space="preserve">   -0.0155</t>
  </si>
  <si>
    <t xml:space="preserve">   -0.2711</t>
  </si>
  <si>
    <t>A00OA76R</t>
  </si>
  <si>
    <t xml:space="preserve">    0.7880</t>
  </si>
  <si>
    <t xml:space="preserve">    0.2235</t>
  </si>
  <si>
    <t xml:space="preserve">  128.1704</t>
  </si>
  <si>
    <t xml:space="preserve">    0.8895</t>
  </si>
  <si>
    <t xml:space="preserve">    4.4667</t>
  </si>
  <si>
    <t xml:space="preserve">    0.2292</t>
  </si>
  <si>
    <t xml:space="preserve">    0.0833</t>
  </si>
  <si>
    <t xml:space="preserve">    0.0333</t>
  </si>
  <si>
    <t xml:space="preserve">  973.6802</t>
  </si>
  <si>
    <t xml:space="preserve">    0.7498</t>
  </si>
  <si>
    <t xml:space="preserve">    0.1708</t>
  </si>
  <si>
    <t xml:space="preserve">    0.2278</t>
  </si>
  <si>
    <t xml:space="preserve">    6.5093</t>
  </si>
  <si>
    <t xml:space="preserve">   38.1017</t>
  </si>
  <si>
    <t xml:space="preserve">    4.3407</t>
  </si>
  <si>
    <t xml:space="preserve">    0.0525</t>
  </si>
  <si>
    <t xml:space="preserve">    0.1779</t>
  </si>
  <si>
    <t xml:space="preserve">    1.2366</t>
  </si>
  <si>
    <t xml:space="preserve">    0.2123</t>
  </si>
  <si>
    <t xml:space="preserve">    0.2626</t>
  </si>
  <si>
    <t xml:space="preserve">    0.2236</t>
  </si>
  <si>
    <t xml:space="preserve">   -0.0582</t>
  </si>
  <si>
    <t xml:space="preserve">    0.1830</t>
  </si>
  <si>
    <t xml:space="preserve">    0.1688</t>
  </si>
  <si>
    <t xml:space="preserve">   -0.0835</t>
  </si>
  <si>
    <t xml:space="preserve">   -0.0889</t>
  </si>
  <si>
    <t xml:space="preserve">    0.1285</t>
  </si>
  <si>
    <t>DK0:[MICROCT.DATA.00000700.00018064]</t>
  </si>
  <si>
    <t xml:space="preserve">    1.0648</t>
  </si>
  <si>
    <t xml:space="preserve">    0.1838</t>
  </si>
  <si>
    <t xml:space="preserve">    0.1726</t>
  </si>
  <si>
    <t xml:space="preserve">  142.7536</t>
  </si>
  <si>
    <t xml:space="preserve">    1.1029</t>
  </si>
  <si>
    <t xml:space="preserve">    4.0210</t>
  </si>
  <si>
    <t xml:space="preserve">    0.0506</t>
  </si>
  <si>
    <t xml:space="preserve">    0.2517</t>
  </si>
  <si>
    <t xml:space="preserve">    0.1066</t>
  </si>
  <si>
    <t xml:space="preserve">    0.0177</t>
  </si>
  <si>
    <t xml:space="preserve">    0.1100</t>
  </si>
  <si>
    <t>~  910.369</t>
  </si>
  <si>
    <t xml:space="preserve">    1.0195</t>
  </si>
  <si>
    <t xml:space="preserve">    8.4655</t>
  </si>
  <si>
    <t xml:space="preserve">   47.9007</t>
  </si>
  <si>
    <t xml:space="preserve">    4.1519</t>
  </si>
  <si>
    <t xml:space="preserve">    0.0418</t>
  </si>
  <si>
    <t xml:space="preserve">    0.1991</t>
  </si>
  <si>
    <t xml:space="preserve">    1.5428</t>
  </si>
  <si>
    <t xml:space="preserve">    0.3031</t>
  </si>
  <si>
    <t xml:space="preserve">    0.2531</t>
  </si>
  <si>
    <t xml:space="preserve">    0.1960</t>
  </si>
  <si>
    <t xml:space="preserve">   -0.0081</t>
  </si>
  <si>
    <t xml:space="preserve">    0.0187</t>
  </si>
  <si>
    <t xml:space="preserve">   -0.3003</t>
  </si>
  <si>
    <t xml:space="preserve">    0.0368</t>
  </si>
  <si>
    <t xml:space="preserve">   -0.0086</t>
  </si>
  <si>
    <t xml:space="preserve">   -0.0313</t>
  </si>
  <si>
    <t xml:space="preserve">   -0.2510</t>
  </si>
  <si>
    <t>A00OA77L</t>
  </si>
  <si>
    <t xml:space="preserve">    0.6671</t>
  </si>
  <si>
    <t xml:space="preserve">    0.1883</t>
  </si>
  <si>
    <t xml:space="preserve">  154.3924</t>
  </si>
  <si>
    <t xml:space="preserve">    1.0624</t>
  </si>
  <si>
    <t xml:space="preserve">    3.9149</t>
  </si>
  <si>
    <t xml:space="preserve">    0.2667</t>
  </si>
  <si>
    <t xml:space="preserve">    0.1166</t>
  </si>
  <si>
    <t>~  903.755</t>
  </si>
  <si>
    <t xml:space="preserve">    0.6319</t>
  </si>
  <si>
    <t xml:space="preserve">    0.1181</t>
  </si>
  <si>
    <t xml:space="preserve">    0.1869</t>
  </si>
  <si>
    <t xml:space="preserve">    5.3973</t>
  </si>
  <si>
    <t xml:space="preserve">   45.6952</t>
  </si>
  <si>
    <t xml:space="preserve">    4.2704</t>
  </si>
  <si>
    <t xml:space="preserve">    0.0438</t>
  </si>
  <si>
    <t xml:space="preserve">    0.1904</t>
  </si>
  <si>
    <t xml:space="preserve">    1.4086</t>
  </si>
  <si>
    <t xml:space="preserve">    0.2005</t>
  </si>
  <si>
    <t xml:space="preserve">    0.2824</t>
  </si>
  <si>
    <t xml:space="preserve">    0.0902</t>
  </si>
  <si>
    <t xml:space="preserve">    0.0087</t>
  </si>
  <si>
    <t xml:space="preserve">    0.1789</t>
  </si>
  <si>
    <t xml:space="preserve">   -0.2821</t>
  </si>
  <si>
    <t xml:space="preserve">    0.0078</t>
  </si>
  <si>
    <t xml:space="preserve">    0.0058</t>
  </si>
  <si>
    <t xml:space="preserve">   -0.1072</t>
  </si>
  <si>
    <t>DK0:[MICROCT.DATA.00000700.00018065]</t>
  </si>
  <si>
    <t xml:space="preserve">    1.1419</t>
  </si>
  <si>
    <t xml:space="preserve">    0.1576</t>
  </si>
  <si>
    <t xml:space="preserve">  112.9703</t>
  </si>
  <si>
    <t xml:space="preserve">    0.9639</t>
  </si>
  <si>
    <t xml:space="preserve">    3.6802</t>
  </si>
  <si>
    <t xml:space="preserve">    0.2656</t>
  </si>
  <si>
    <t xml:space="preserve">    0.0955</t>
  </si>
  <si>
    <t xml:space="preserve">    0.0179</t>
  </si>
  <si>
    <t xml:space="preserve">    0.0820</t>
  </si>
  <si>
    <t>~  884.275</t>
  </si>
  <si>
    <t xml:space="preserve">    1.0975</t>
  </si>
  <si>
    <t xml:space="preserve">    0.1724</t>
  </si>
  <si>
    <t xml:space="preserve">    8.3940</t>
  </si>
  <si>
    <t xml:space="preserve">   48.6843</t>
  </si>
  <si>
    <t xml:space="preserve">    3.8240</t>
  </si>
  <si>
    <t xml:space="preserve">    0.0411</t>
  </si>
  <si>
    <t xml:space="preserve">    0.2204</t>
  </si>
  <si>
    <t xml:space="preserve">    1.4881</t>
  </si>
  <si>
    <t xml:space="preserve">    0.3327</t>
  </si>
  <si>
    <t xml:space="preserve">    0.2561</t>
  </si>
  <si>
    <t xml:space="preserve">    0.2132</t>
  </si>
  <si>
    <t xml:space="preserve">    0.0604</t>
  </si>
  <si>
    <t xml:space="preserve">    0.0295</t>
  </si>
  <si>
    <t xml:space="preserve">    0.0942</t>
  </si>
  <si>
    <t xml:space="preserve">   -0.3176</t>
  </si>
  <si>
    <t xml:space="preserve">   -0.0309</t>
  </si>
  <si>
    <t xml:space="preserve">    0.0322</t>
  </si>
  <si>
    <t xml:space="preserve">   -0.2527</t>
  </si>
  <si>
    <t>A00OA77R</t>
  </si>
  <si>
    <t xml:space="preserve">    0.6927</t>
  </si>
  <si>
    <t xml:space="preserve">    0.1759</t>
  </si>
  <si>
    <t xml:space="preserve">   96.7256</t>
  </si>
  <si>
    <t xml:space="preserve">    0.9230</t>
  </si>
  <si>
    <t xml:space="preserve">    3.7758</t>
  </si>
  <si>
    <t xml:space="preserve">    0.1036</t>
  </si>
  <si>
    <t xml:space="preserve">    0.0255</t>
  </si>
  <si>
    <t xml:space="preserve">    0.0836</t>
  </si>
  <si>
    <t>~  908.843</t>
  </si>
  <si>
    <t xml:space="preserve">    0.6597</t>
  </si>
  <si>
    <t xml:space="preserve">    0.1162</t>
  </si>
  <si>
    <t xml:space="preserve">    0.1761</t>
  </si>
  <si>
    <t xml:space="preserve">    4.9179</t>
  </si>
  <si>
    <t xml:space="preserve">   42.3280</t>
  </si>
  <si>
    <t xml:space="preserve">    3.7275</t>
  </si>
  <si>
    <t xml:space="preserve">    0.0473</t>
  </si>
  <si>
    <t xml:space="preserve">    0.2210</t>
  </si>
  <si>
    <t xml:space="preserve">    1.4470</t>
  </si>
  <si>
    <t xml:space="preserve">    0.2267</t>
  </si>
  <si>
    <t xml:space="preserve">    0.3280</t>
  </si>
  <si>
    <t xml:space="preserve">    0.2743</t>
  </si>
  <si>
    <t xml:space="preserve">    0.1503</t>
  </si>
  <si>
    <t xml:space="preserve">   -0.1514</t>
  </si>
  <si>
    <t xml:space="preserve">    0.1500</t>
  </si>
  <si>
    <t xml:space="preserve">   -0.2918</t>
  </si>
  <si>
    <t xml:space="preserve">    0.0010</t>
  </si>
  <si>
    <t xml:space="preserve">   -0.1626</t>
  </si>
  <si>
    <t xml:space="preserve">   -0.0843</t>
  </si>
  <si>
    <t xml:space="preserve">   -0.2042</t>
  </si>
  <si>
    <t>DK0:[MICROCT.DATA.00000700.00018066]</t>
  </si>
  <si>
    <t xml:space="preserve">    1.3891</t>
  </si>
  <si>
    <t xml:space="preserve">    0.1914</t>
  </si>
  <si>
    <t xml:space="preserve">    0.1378</t>
  </si>
  <si>
    <t xml:space="preserve">  102.2230</t>
  </si>
  <si>
    <t xml:space="preserve">    1.1645</t>
  </si>
  <si>
    <t xml:space="preserve">    3.5257</t>
  </si>
  <si>
    <t xml:space="preserve">    0.2853</t>
  </si>
  <si>
    <t xml:space="preserve">    0.1026</t>
  </si>
  <si>
    <t xml:space="preserve">    0.0153</t>
  </si>
  <si>
    <t xml:space="preserve">    0.0984</t>
  </si>
  <si>
    <t>~  857.090</t>
  </si>
  <si>
    <t xml:space="preserve">    1.3434</t>
  </si>
  <si>
    <t xml:space="preserve">    9.2915</t>
  </si>
  <si>
    <t xml:space="preserve">   50.2865</t>
  </si>
  <si>
    <t xml:space="preserve">    3.4581</t>
  </si>
  <si>
    <t xml:space="preserve">    0.2494</t>
  </si>
  <si>
    <t xml:space="preserve">    1.3857</t>
  </si>
  <si>
    <t xml:space="preserve">    0.2436</t>
  </si>
  <si>
    <t xml:space="preserve">    0.3376</t>
  </si>
  <si>
    <t xml:space="preserve">    0.3080</t>
  </si>
  <si>
    <t xml:space="preserve">   -0.1821</t>
  </si>
  <si>
    <t xml:space="preserve">   -0.1580</t>
  </si>
  <si>
    <t xml:space="preserve">    0.0351</t>
  </si>
  <si>
    <t xml:space="preserve">    0.2122</t>
  </si>
  <si>
    <t xml:space="preserve">   -0.2568</t>
  </si>
  <si>
    <t xml:space="preserve">   -0.0549</t>
  </si>
  <si>
    <t xml:space="preserve">   -0.0662</t>
  </si>
  <si>
    <t xml:space="preserve">   -0.3006</t>
  </si>
  <si>
    <t>A00OA78L</t>
  </si>
  <si>
    <t xml:space="preserve">    0.4435</t>
  </si>
  <si>
    <t xml:space="preserve">    0.2034</t>
  </si>
  <si>
    <t xml:space="preserve">  220.9746</t>
  </si>
  <si>
    <t xml:space="preserve">    1.3097</t>
  </si>
  <si>
    <t xml:space="preserve">    4.4759</t>
  </si>
  <si>
    <t xml:space="preserve">    0.0500</t>
  </si>
  <si>
    <t xml:space="preserve">    0.2262</t>
  </si>
  <si>
    <t xml:space="preserve">    0.0949</t>
  </si>
  <si>
    <t xml:space="preserve">    0.0779</t>
  </si>
  <si>
    <t>~  901.502</t>
  </si>
  <si>
    <t xml:space="preserve">    0.4190</t>
  </si>
  <si>
    <t xml:space="preserve">    0.0835</t>
  </si>
  <si>
    <t xml:space="preserve">    0.1994</t>
  </si>
  <si>
    <t xml:space="preserve">    4.0238</t>
  </si>
  <si>
    <t xml:space="preserve">   48.1756</t>
  </si>
  <si>
    <t xml:space="preserve">    4.8021</t>
  </si>
  <si>
    <t xml:space="preserve">    0.1667</t>
  </si>
  <si>
    <t xml:space="preserve">    1.4058</t>
  </si>
  <si>
    <t xml:space="preserve">    0.2543</t>
  </si>
  <si>
    <t xml:space="preserve">    0.2056</t>
  </si>
  <si>
    <t xml:space="preserve">   -0.0132</t>
  </si>
  <si>
    <t xml:space="preserve">   -0.0334</t>
  </si>
  <si>
    <t xml:space="preserve">    0.1772</t>
  </si>
  <si>
    <t xml:space="preserve">   -0.2017</t>
  </si>
  <si>
    <t xml:space="preserve">   -0.1487</t>
  </si>
  <si>
    <t xml:space="preserve">   -0.0431</t>
  </si>
  <si>
    <t xml:space="preserve">   -0.1243</t>
  </si>
  <si>
    <t xml:space="preserve">    0.1623</t>
  </si>
  <si>
    <t>DK0:[MICROCT.DATA.00000700.00018067]</t>
  </si>
  <si>
    <t xml:space="preserve">    0.7445</t>
  </si>
  <si>
    <t xml:space="preserve">    0.1338</t>
  </si>
  <si>
    <t xml:space="preserve">    0.1798</t>
  </si>
  <si>
    <t xml:space="preserve">  166.5576</t>
  </si>
  <si>
    <t xml:space="preserve">    1.2555</t>
  </si>
  <si>
    <t xml:space="preserve">    4.5019</t>
  </si>
  <si>
    <t xml:space="preserve">    0.0806</t>
  </si>
  <si>
    <t xml:space="preserve">    0.0158</t>
  </si>
  <si>
    <t xml:space="preserve">    0.0724</t>
  </si>
  <si>
    <t>~  850.548</t>
  </si>
  <si>
    <t xml:space="preserve">    0.7071</t>
  </si>
  <si>
    <t xml:space="preserve">    0.1248</t>
  </si>
  <si>
    <t xml:space="preserve">    0.1764</t>
  </si>
  <si>
    <t xml:space="preserve">    6.2440</t>
  </si>
  <si>
    <t xml:space="preserve">   50.0465</t>
  </si>
  <si>
    <t xml:space="preserve">    4.4153</t>
  </si>
  <si>
    <t xml:space="preserve">    0.1865</t>
  </si>
  <si>
    <t xml:space="preserve">    1.2814</t>
  </si>
  <si>
    <t xml:space="preserve">    0.2035</t>
  </si>
  <si>
    <t xml:space="preserve">    0.1950</t>
  </si>
  <si>
    <t xml:space="preserve">    0.0109</t>
  </si>
  <si>
    <t xml:space="preserve">    0.2497</t>
  </si>
  <si>
    <t xml:space="preserve">   -0.0723</t>
  </si>
  <si>
    <t xml:space="preserve">   -0.0139</t>
  </si>
  <si>
    <t xml:space="preserve">    0.0166</t>
  </si>
  <si>
    <t xml:space="preserve">   -0.2231</t>
  </si>
  <si>
    <t>A00OA78R</t>
  </si>
  <si>
    <t xml:space="preserve">    0.6135</t>
  </si>
  <si>
    <t xml:space="preserve">    0.1766</t>
  </si>
  <si>
    <t xml:space="preserve">  118.1759</t>
  </si>
  <si>
    <t xml:space="preserve">    1.3561</t>
  </si>
  <si>
    <t xml:space="preserve">    3.8946</t>
  </si>
  <si>
    <t xml:space="preserve">    0.0534</t>
  </si>
  <si>
    <t xml:space="preserve">    0.2701</t>
  </si>
  <si>
    <t>~  879.187</t>
  </si>
  <si>
    <t xml:space="preserve">    0.5817</t>
  </si>
  <si>
    <t xml:space="preserve">    0.1007</t>
  </si>
  <si>
    <t xml:space="preserve">    0.1731</t>
  </si>
  <si>
    <t xml:space="preserve">    4.7153</t>
  </si>
  <si>
    <t xml:space="preserve">   46.8154</t>
  </si>
  <si>
    <t xml:space="preserve">    4.0528</t>
  </si>
  <si>
    <t xml:space="preserve">    0.0427</t>
  </si>
  <si>
    <t xml:space="preserve">    0.2040</t>
  </si>
  <si>
    <t xml:space="preserve">    1.4661</t>
  </si>
  <si>
    <t xml:space="preserve">    0.2072</t>
  </si>
  <si>
    <t xml:space="preserve">    0.3037</t>
  </si>
  <si>
    <t xml:space="preserve">   -0.0168</t>
  </si>
  <si>
    <t xml:space="preserve">    0.0154</t>
  </si>
  <si>
    <t xml:space="preserve">    0.2059</t>
  </si>
  <si>
    <t xml:space="preserve">    0.3017</t>
  </si>
  <si>
    <t xml:space="preserve">    0.0268</t>
  </si>
  <si>
    <t xml:space="preserve">    0.0226</t>
  </si>
  <si>
    <t xml:space="preserve">   -0.0208</t>
  </si>
  <si>
    <t xml:space="preserve">    0.2514</t>
  </si>
  <si>
    <t xml:space="preserve">   -0.0205</t>
  </si>
  <si>
    <t>DK0:[MICROCT.DATA.00000700.00018068]</t>
  </si>
  <si>
    <t xml:space="preserve">    0.8815</t>
  </si>
  <si>
    <t xml:space="preserve">    0.1656</t>
  </si>
  <si>
    <t xml:space="preserve">    0.1879</t>
  </si>
  <si>
    <t xml:space="preserve">  136.6971</t>
  </si>
  <si>
    <t xml:space="preserve">    1.2588</t>
  </si>
  <si>
    <t xml:space="preserve">    4.5276</t>
  </si>
  <si>
    <t xml:space="preserve">    0.2192</t>
  </si>
  <si>
    <t xml:space="preserve">    0.0851</t>
  </si>
  <si>
    <t>~  884.202</t>
  </si>
  <si>
    <t xml:space="preserve">    0.8369</t>
  </si>
  <si>
    <t xml:space="preserve">    0.1555</t>
  </si>
  <si>
    <t xml:space="preserve">    7.3726</t>
  </si>
  <si>
    <t xml:space="preserve">   47.3994</t>
  </si>
  <si>
    <t xml:space="preserve">    4.4047</t>
  </si>
  <si>
    <t xml:space="preserve">    1.4989</t>
  </si>
  <si>
    <t xml:space="preserve">    0.2877</t>
  </si>
  <si>
    <t xml:space="preserve">   -0.1532</t>
  </si>
  <si>
    <t xml:space="preserve">   -0.2417</t>
  </si>
  <si>
    <t xml:space="preserve">   -0.1334</t>
  </si>
  <si>
    <t xml:space="preserve">    0.1079</t>
  </si>
  <si>
    <t xml:space="preserve">   -0.0870</t>
  </si>
  <si>
    <t xml:space="preserve">   -0.1785</t>
  </si>
  <si>
    <t>C0016929</t>
  </si>
  <si>
    <t>E2_Imax</t>
  </si>
  <si>
    <t>300</t>
  </si>
  <si>
    <t>HR - 21.5mm</t>
  </si>
  <si>
    <t xml:space="preserve">    0.2807</t>
  </si>
  <si>
    <t xml:space="preserve">    0.2066</t>
  </si>
  <si>
    <t xml:space="preserve">    0.0216</t>
  </si>
  <si>
    <t>DK0:[MICROCT.DATA.00000700.00017301]</t>
  </si>
  <si>
    <t xml:space="preserve">    0.4489</t>
  </si>
  <si>
    <t xml:space="preserve">    0.0796</t>
  </si>
  <si>
    <t xml:space="preserve">  981.6032</t>
  </si>
  <si>
    <t xml:space="preserve">    0.0625</t>
  </si>
  <si>
    <t xml:space="preserve">    0.0866</t>
  </si>
  <si>
    <t xml:space="preserve">   -0.0029</t>
  </si>
  <si>
    <t xml:space="preserve">    0.0317</t>
  </si>
  <si>
    <t xml:space="preserve">    0.2121</t>
  </si>
  <si>
    <t xml:space="preserve">    0.0647</t>
  </si>
  <si>
    <t xml:space="preserve">    0.2164</t>
  </si>
  <si>
    <t xml:space="preserve">    0.0668</t>
  </si>
  <si>
    <t xml:space="preserve">    0.0726</t>
  </si>
  <si>
    <t xml:space="preserve">    0.3270</t>
  </si>
  <si>
    <t xml:space="preserve">    0.1418</t>
  </si>
  <si>
    <t xml:space="preserve">    0.1749</t>
  </si>
  <si>
    <t xml:space="preserve">    0.1445</t>
  </si>
  <si>
    <t xml:space="preserve">    0.1329</t>
  </si>
  <si>
    <t xml:space="preserve">    0.0049</t>
  </si>
  <si>
    <t xml:space="preserve">    0.0054</t>
  </si>
  <si>
    <t xml:space="preserve">    0.1486</t>
  </si>
  <si>
    <t xml:space="preserve">    0.2320</t>
  </si>
  <si>
    <t xml:space="preserve">    0.2808</t>
  </si>
  <si>
    <t xml:space="preserve">    0.0764</t>
  </si>
  <si>
    <t xml:space="preserve">    0.4947</t>
  </si>
  <si>
    <t xml:space="preserve">  194.0572</t>
  </si>
  <si>
    <t xml:space="preserve">    1.5365</t>
  </si>
  <si>
    <t xml:space="preserve">    4.2275</t>
  </si>
  <si>
    <t xml:space="preserve">    0.0512</t>
  </si>
  <si>
    <t xml:space="preserve">    0.2386</t>
  </si>
  <si>
    <t xml:space="preserve">    0.0202</t>
  </si>
  <si>
    <t xml:space="preserve">    0.0757</t>
  </si>
  <si>
    <t>~  878.751</t>
  </si>
  <si>
    <t xml:space="preserve">    0.4683</t>
  </si>
  <si>
    <t xml:space="preserve">    3.8243</t>
  </si>
  <si>
    <t xml:space="preserve">   46.9093</t>
  </si>
  <si>
    <t xml:space="preserve">    4.0829</t>
  </si>
  <si>
    <t xml:space="preserve">    0.0426</t>
  </si>
  <si>
    <t xml:space="preserve">    0.2023</t>
  </si>
  <si>
    <t xml:space="preserve">    1.3688</t>
  </si>
  <si>
    <t xml:space="preserve">    0.2158</t>
  </si>
  <si>
    <t xml:space="preserve">    0.2954</t>
  </si>
  <si>
    <t xml:space="preserve">    0.2397</t>
  </si>
  <si>
    <t xml:space="preserve">   -0.0225</t>
  </si>
  <si>
    <t xml:space="preserve">   -0.0606</t>
  </si>
  <si>
    <t xml:space="preserve">   -0.1181</t>
  </si>
  <si>
    <t xml:space="preserve">   -0.2560</t>
  </si>
  <si>
    <t xml:space="preserve">   -0.0882</t>
  </si>
  <si>
    <t xml:space="preserve">   -0.2183</t>
  </si>
  <si>
    <t xml:space="preserve">    0.0989</t>
  </si>
  <si>
    <t xml:space="preserve">    0.0053</t>
  </si>
  <si>
    <t xml:space="preserve">    0.4970</t>
  </si>
  <si>
    <t xml:space="preserve">    0.3561</t>
  </si>
  <si>
    <t xml:space="preserve">  192.1718</t>
  </si>
  <si>
    <t xml:space="preserve">    1.2063</t>
  </si>
  <si>
    <t xml:space="preserve">    5.4491</t>
  </si>
  <si>
    <t xml:space="preserve">    0.1916</t>
  </si>
  <si>
    <t xml:space="preserve">  979.2772</t>
  </si>
  <si>
    <t xml:space="preserve">    0.4613</t>
  </si>
  <si>
    <t xml:space="preserve">    0.1686</t>
  </si>
  <si>
    <t xml:space="preserve">    0.3655</t>
  </si>
  <si>
    <t xml:space="preserve">    5.7699</t>
  </si>
  <si>
    <t xml:space="preserve">   34.2254</t>
  </si>
  <si>
    <t xml:space="preserve">    6.2547</t>
  </si>
  <si>
    <t xml:space="preserve">    0.0584</t>
  </si>
  <si>
    <t xml:space="preserve">    0.1014</t>
  </si>
  <si>
    <t xml:space="preserve">    1.9154</t>
  </si>
  <si>
    <t xml:space="preserve">    0.1147</t>
  </si>
  <si>
    <t xml:space="preserve">    0.2197</t>
  </si>
  <si>
    <t xml:space="preserve">    0.1997</t>
  </si>
  <si>
    <t xml:space="preserve">    0.0064</t>
  </si>
  <si>
    <t xml:space="preserve">    0.1143</t>
  </si>
  <si>
    <t xml:space="preserve">   -0.0240</t>
  </si>
  <si>
    <t xml:space="preserve">   -0.2182</t>
  </si>
  <si>
    <t xml:space="preserve">    0.0106</t>
  </si>
  <si>
    <t xml:space="preserve">   -0.1980</t>
  </si>
  <si>
    <t xml:space="preserve">   -0.0153</t>
  </si>
  <si>
    <t xml:space="preserve">    0.3890</t>
  </si>
  <si>
    <t xml:space="preserve">    0.1016</t>
  </si>
  <si>
    <t xml:space="preserve">    0.2612</t>
  </si>
  <si>
    <t xml:space="preserve">   65.5443</t>
  </si>
  <si>
    <t xml:space="preserve">    1.5535</t>
  </si>
  <si>
    <t xml:space="preserve">    4.2011</t>
  </si>
  <si>
    <t xml:space="preserve">    0.0777</t>
  </si>
  <si>
    <t xml:space="preserve">    0.2469</t>
  </si>
  <si>
    <t xml:space="preserve">    0.0321</t>
  </si>
  <si>
    <t xml:space="preserve">  981.0944</t>
  </si>
  <si>
    <t xml:space="preserve">    0.3674</t>
  </si>
  <si>
    <t xml:space="preserve">    0.0961</t>
  </si>
  <si>
    <t xml:space="preserve">    3.2506</t>
  </si>
  <si>
    <t xml:space="preserve">   33.8168</t>
  </si>
  <si>
    <t xml:space="preserve">    4.4239</t>
  </si>
  <si>
    <t xml:space="preserve">    0.0591</t>
  </si>
  <si>
    <t xml:space="preserve">    0.1669</t>
  </si>
  <si>
    <t xml:space="preserve">    1.4188</t>
  </si>
  <si>
    <t xml:space="preserve">    0.1903</t>
  </si>
  <si>
    <t xml:space="preserve">    0.2700</t>
  </si>
  <si>
    <t xml:space="preserve">    0.2364</t>
  </si>
  <si>
    <t xml:space="preserve">   -0.0248</t>
  </si>
  <si>
    <t xml:space="preserve">   -0.2556</t>
  </si>
  <si>
    <t xml:space="preserve">   -0.2293</t>
  </si>
  <si>
    <t xml:space="preserve">   -0.0545</t>
  </si>
  <si>
    <t xml:space="preserve">   -0.0183</t>
  </si>
  <si>
    <t xml:space="preserve">    0.2690</t>
  </si>
  <si>
    <t xml:space="preserve">    0.0445</t>
  </si>
  <si>
    <t xml:space="preserve">    0.1653</t>
  </si>
  <si>
    <t xml:space="preserve">  243.5346</t>
  </si>
  <si>
    <t xml:space="preserve">    1.6638</t>
  </si>
  <si>
    <t xml:space="preserve">    3.3547</t>
  </si>
  <si>
    <t xml:space="preserve">    0.0560</t>
  </si>
  <si>
    <t xml:space="preserve">    0.3304</t>
  </si>
  <si>
    <t xml:space="preserve">    0.1598</t>
  </si>
  <si>
    <t>~  945.259</t>
  </si>
  <si>
    <t xml:space="preserve">    0.2498</t>
  </si>
  <si>
    <t xml:space="preserve">    0.1600</t>
  </si>
  <si>
    <t xml:space="preserve">    2.0671</t>
  </si>
  <si>
    <t xml:space="preserve">   51.7051</t>
  </si>
  <si>
    <t xml:space="preserve">    4.1367</t>
  </si>
  <si>
    <t xml:space="preserve">    0.0387</t>
  </si>
  <si>
    <t xml:space="preserve">    0.2031</t>
  </si>
  <si>
    <t xml:space="preserve">    1.8950</t>
  </si>
  <si>
    <t xml:space="preserve">    0.1785</t>
  </si>
  <si>
    <t xml:space="preserve">    0.3383</t>
  </si>
  <si>
    <t xml:space="preserve">    0.2798</t>
  </si>
  <si>
    <t xml:space="preserve">   -0.0064</t>
  </si>
  <si>
    <t xml:space="preserve">    0.0458</t>
  </si>
  <si>
    <t xml:space="preserve">    0.2032</t>
  </si>
  <si>
    <t xml:space="preserve">   -0.2595</t>
  </si>
  <si>
    <t xml:space="preserve">    0.1646</t>
  </si>
  <si>
    <t xml:space="preserve">   -0.0355</t>
  </si>
  <si>
    <t xml:space="preserve">    0.4884</t>
  </si>
  <si>
    <t xml:space="preserve">    0.1702</t>
  </si>
  <si>
    <t xml:space="preserve">    0.3485</t>
  </si>
  <si>
    <t xml:space="preserve">  234.4169</t>
  </si>
  <si>
    <t xml:space="preserve">    0.8595</t>
  </si>
  <si>
    <t xml:space="preserve">    5.1669</t>
  </si>
  <si>
    <t xml:space="preserve">    0.2163</t>
  </si>
  <si>
    <t xml:space="preserve">    0.1146</t>
  </si>
  <si>
    <t xml:space="preserve">    0.0336</t>
  </si>
  <si>
    <t xml:space="preserve">    0.1159</t>
  </si>
  <si>
    <t xml:space="preserve">  969.6098</t>
  </si>
  <si>
    <t xml:space="preserve">    0.4575</t>
  </si>
  <si>
    <t xml:space="preserve">    0.1640</t>
  </si>
  <si>
    <t xml:space="preserve">    0.3583</t>
  </si>
  <si>
    <t xml:space="preserve">    5.7192</t>
  </si>
  <si>
    <t xml:space="preserve">   34.8834</t>
  </si>
  <si>
    <t xml:space="preserve">    6.2502</t>
  </si>
  <si>
    <t xml:space="preserve">    0.1027</t>
  </si>
  <si>
    <t xml:space="preserve">    1.6634</t>
  </si>
  <si>
    <t xml:space="preserve">    0.2062</t>
  </si>
  <si>
    <t xml:space="preserve">   -0.0242</t>
  </si>
  <si>
    <t xml:space="preserve">    0.1178</t>
  </si>
  <si>
    <t xml:space="preserve">   -0.0287</t>
  </si>
  <si>
    <t xml:space="preserve">   -0.1584</t>
  </si>
  <si>
    <t xml:space="preserve">   -0.0501</t>
  </si>
  <si>
    <t xml:space="preserve">    0.4374</t>
  </si>
  <si>
    <t xml:space="preserve">    0.0740</t>
  </si>
  <si>
    <t xml:space="preserve">   96.0297</t>
  </si>
  <si>
    <t xml:space="preserve">    1.3611</t>
  </si>
  <si>
    <t xml:space="preserve">    3.1370</t>
  </si>
  <si>
    <t xml:space="preserve">    0.3498</t>
  </si>
  <si>
    <t xml:space="preserve">    0.0312</t>
  </si>
  <si>
    <t xml:space="preserve">    0.1254</t>
  </si>
  <si>
    <t xml:space="preserve"> 1016.0568</t>
  </si>
  <si>
    <t xml:space="preserve">    0.4120</t>
  </si>
  <si>
    <t xml:space="preserve">    2.7391</t>
  </si>
  <si>
    <t xml:space="preserve">   39.6283</t>
  </si>
  <si>
    <t xml:space="preserve">    3.3244</t>
  </si>
  <si>
    <t xml:space="preserve">    0.0505</t>
  </si>
  <si>
    <t xml:space="preserve">    0.2503</t>
  </si>
  <si>
    <t xml:space="preserve">    2.2034</t>
  </si>
  <si>
    <t xml:space="preserve">    0.2179</t>
  </si>
  <si>
    <t xml:space="preserve">    0.4802</t>
  </si>
  <si>
    <t xml:space="preserve">    0.3321</t>
  </si>
  <si>
    <t xml:space="preserve">    0.0365</t>
  </si>
  <si>
    <t xml:space="preserve">   -0.0160</t>
  </si>
  <si>
    <t xml:space="preserve">    0.2143</t>
  </si>
  <si>
    <t xml:space="preserve">   -0.1245</t>
  </si>
  <si>
    <t xml:space="preserve">    0.4604</t>
  </si>
  <si>
    <t xml:space="preserve">   -0.3159</t>
  </si>
  <si>
    <t xml:space="preserve">   -0.0911</t>
  </si>
  <si>
    <t xml:space="preserve">    0.0470</t>
  </si>
  <si>
    <t xml:space="preserve">    0.2438</t>
  </si>
  <si>
    <t xml:space="preserve">    0.1101</t>
  </si>
  <si>
    <t xml:space="preserve">  151.7815</t>
  </si>
  <si>
    <t xml:space="preserve">    1.7527</t>
  </si>
  <si>
    <t xml:space="preserve">    3.8049</t>
  </si>
  <si>
    <t xml:space="preserve">    0.0544</t>
  </si>
  <si>
    <t xml:space="preserve">    0.2766</t>
  </si>
  <si>
    <t xml:space="preserve">    0.1401</t>
  </si>
  <si>
    <t xml:space="preserve">    0.0391</t>
  </si>
  <si>
    <t xml:space="preserve">    0.1360</t>
  </si>
  <si>
    <t>~  982.402</t>
  </si>
  <si>
    <t xml:space="preserve">    0.0227</t>
  </si>
  <si>
    <t xml:space="preserve">    1.4507</t>
  </si>
  <si>
    <t xml:space="preserve">   63.8550</t>
  </si>
  <si>
    <t xml:space="preserve">    3.1793</t>
  </si>
  <si>
    <t xml:space="preserve">    0.0313</t>
  </si>
  <si>
    <t xml:space="preserve">    0.2832</t>
  </si>
  <si>
    <t xml:space="preserve">    1.8815</t>
  </si>
  <si>
    <t xml:space="preserve">    0.2252</t>
  </si>
  <si>
    <t xml:space="preserve">    0.4237</t>
  </si>
  <si>
    <t xml:space="preserve">    0.4026</t>
  </si>
  <si>
    <t xml:space="preserve">    0.0016</t>
  </si>
  <si>
    <t xml:space="preserve">   -0.1154</t>
  </si>
  <si>
    <t xml:space="preserve">    0.1934</t>
  </si>
  <si>
    <t xml:space="preserve">   -0.4234</t>
  </si>
  <si>
    <t xml:space="preserve">   -0.3455</t>
  </si>
  <si>
    <t xml:space="preserve">   -0.2062</t>
  </si>
  <si>
    <t xml:space="preserve">    0.4732</t>
  </si>
  <si>
    <t xml:space="preserve">    0.0538</t>
  </si>
  <si>
    <t xml:space="preserve">    0.1137</t>
  </si>
  <si>
    <t xml:space="preserve">   33.8142</t>
  </si>
  <si>
    <t xml:space="preserve">    2.7431</t>
  </si>
  <si>
    <t xml:space="preserve">    3.7316</t>
  </si>
  <si>
    <t xml:space="preserve">    0.2835</t>
  </si>
  <si>
    <t xml:space="preserve">    0.0985</t>
  </si>
  <si>
    <t xml:space="preserve">  919.8919</t>
  </si>
  <si>
    <t xml:space="preserve">    0.4492</t>
  </si>
  <si>
    <t xml:space="preserve">    0.1038</t>
  </si>
  <si>
    <t xml:space="preserve">    2.1607</t>
  </si>
  <si>
    <t xml:space="preserve">   46.3448</t>
  </si>
  <si>
    <t xml:space="preserve">    2.4050</t>
  </si>
  <si>
    <t xml:space="preserve">    0.0432</t>
  </si>
  <si>
    <t xml:space="preserve">    1.8268</t>
  </si>
  <si>
    <t xml:space="preserve">    0.3141</t>
  </si>
  <si>
    <t xml:space="preserve">    0.5738</t>
  </si>
  <si>
    <t xml:space="preserve">    0.4654</t>
  </si>
  <si>
    <t xml:space="preserve">   -0.0294</t>
  </si>
  <si>
    <t xml:space="preserve">   -0.0745</t>
  </si>
  <si>
    <t xml:space="preserve">   -0.3037</t>
  </si>
  <si>
    <t xml:space="preserve">    0.4602</t>
  </si>
  <si>
    <t xml:space="preserve">   -0.3406</t>
  </si>
  <si>
    <t xml:space="preserve">    0.2746</t>
  </si>
  <si>
    <t xml:space="preserve">    0.3580</t>
  </si>
  <si>
    <t xml:space="preserve">   -0.1144</t>
  </si>
  <si>
    <t xml:space="preserve">    0.9084</t>
  </si>
  <si>
    <t xml:space="preserve">  149.7148</t>
  </si>
  <si>
    <t xml:space="preserve">    0.9543</t>
  </si>
  <si>
    <t xml:space="preserve">    4.2635</t>
  </si>
  <si>
    <t xml:space="preserve">    0.2367</t>
  </si>
  <si>
    <t xml:space="preserve">    0.0919</t>
  </si>
  <si>
    <t>~  887.837</t>
  </si>
  <si>
    <t xml:space="preserve">    0.8611</t>
  </si>
  <si>
    <t xml:space="preserve">    0.2044</t>
  </si>
  <si>
    <t xml:space="preserve">    7.8375</t>
  </si>
  <si>
    <t xml:space="preserve">   44.5166</t>
  </si>
  <si>
    <t xml:space="preserve">    4.5506</t>
  </si>
  <si>
    <t xml:space="preserve">    1.3977</t>
  </si>
  <si>
    <t xml:space="preserve">    0.1976</t>
  </si>
  <si>
    <t xml:space="preserve">    0.2762</t>
  </si>
  <si>
    <t xml:space="preserve">    0.2046</t>
  </si>
  <si>
    <t xml:space="preserve">    0.1922</t>
  </si>
  <si>
    <t xml:space="preserve">   -0.0450</t>
  </si>
  <si>
    <t xml:space="preserve">    0.0099</t>
  </si>
  <si>
    <t xml:space="preserve">   -0.0601</t>
  </si>
  <si>
    <t xml:space="preserve">   -0.2661</t>
  </si>
  <si>
    <t xml:space="preserve">   -0.0435</t>
  </si>
  <si>
    <t xml:space="preserve">    0.0291</t>
  </si>
  <si>
    <t xml:space="preserve">   -0.2018</t>
  </si>
  <si>
    <t xml:space="preserve">    0.6206</t>
  </si>
  <si>
    <t xml:space="preserve">    0.2568</t>
  </si>
  <si>
    <t xml:space="preserve">    0.4138</t>
  </si>
  <si>
    <t xml:space="preserve">  178.0560</t>
  </si>
  <si>
    <t xml:space="preserve">    0.2446</t>
  </si>
  <si>
    <t xml:space="preserve">    6.7716</t>
  </si>
  <si>
    <t xml:space="preserve">  978.3322</t>
  </si>
  <si>
    <t xml:space="preserve">    0.5842</t>
  </si>
  <si>
    <t xml:space="preserve">    0.2510</t>
  </si>
  <si>
    <t xml:space="preserve">    0.4296</t>
  </si>
  <si>
    <t xml:space="preserve">    7.3298</t>
  </si>
  <si>
    <t xml:space="preserve">   29.2017</t>
  </si>
  <si>
    <t xml:space="preserve">    6.2729</t>
  </si>
  <si>
    <t xml:space="preserve">    0.0685</t>
  </si>
  <si>
    <t xml:space="preserve">    1.3679</t>
  </si>
  <si>
    <t xml:space="preserve">    0.1589</t>
  </si>
  <si>
    <t xml:space="preserve">    0.0057</t>
  </si>
  <si>
    <t xml:space="preserve">    0.0048</t>
  </si>
  <si>
    <t xml:space="preserve">   -0.1748</t>
  </si>
  <si>
    <t xml:space="preserve">    0.0091</t>
  </si>
  <si>
    <t xml:space="preserve">   -0.1461</t>
  </si>
  <si>
    <t xml:space="preserve">    0.0038</t>
  </si>
  <si>
    <t xml:space="preserve">    0.6833</t>
  </si>
  <si>
    <t xml:space="preserve">    0.2485</t>
  </si>
  <si>
    <t xml:space="preserve">    0.3637</t>
  </si>
  <si>
    <t xml:space="preserve">  192.4540</t>
  </si>
  <si>
    <t xml:space="preserve">    0.8718</t>
  </si>
  <si>
    <t xml:space="preserve">    5.6568</t>
  </si>
  <si>
    <t xml:space="preserve">    0.0829</t>
  </si>
  <si>
    <t xml:space="preserve">    0.1714</t>
  </si>
  <si>
    <t xml:space="preserve">    0.0735</t>
  </si>
  <si>
    <t xml:space="preserve">  987.8543</t>
  </si>
  <si>
    <t xml:space="preserve">    0.6437</t>
  </si>
  <si>
    <t xml:space="preserve">    0.2405</t>
  </si>
  <si>
    <t xml:space="preserve">    0.3736</t>
  </si>
  <si>
    <t xml:space="preserve">    7.4395</t>
  </si>
  <si>
    <t xml:space="preserve">   30.9318</t>
  </si>
  <si>
    <t xml:space="preserve">    5.7783</t>
  </si>
  <si>
    <t xml:space="preserve">    0.1084</t>
  </si>
  <si>
    <t xml:space="preserve">    1.4529</t>
  </si>
  <si>
    <t xml:space="preserve">    0.1489</t>
  </si>
  <si>
    <t xml:space="preserve">    0.1700</t>
  </si>
  <si>
    <t xml:space="preserve">   -0.0226</t>
  </si>
  <si>
    <t xml:space="preserve">    0.1455</t>
  </si>
  <si>
    <t xml:space="preserve">    0.1874</t>
  </si>
  <si>
    <t xml:space="preserve">   -0.0124</t>
  </si>
  <si>
    <t xml:space="preserve">   -0.0810</t>
  </si>
  <si>
    <t xml:space="preserve">    0.6537</t>
  </si>
  <si>
    <t xml:space="preserve">    0.1284</t>
  </si>
  <si>
    <t xml:space="preserve">    0.1964</t>
  </si>
  <si>
    <t xml:space="preserve">  133.8472</t>
  </si>
  <si>
    <t xml:space="preserve">    1.1742</t>
  </si>
  <si>
    <t xml:space="preserve">    3.5675</t>
  </si>
  <si>
    <t xml:space="preserve">    0.0683</t>
  </si>
  <si>
    <t xml:space="preserve">    0.3006</t>
  </si>
  <si>
    <t xml:space="preserve">    0.1331</t>
  </si>
  <si>
    <t xml:space="preserve">    0.1270</t>
  </si>
  <si>
    <t xml:space="preserve">  933.6297</t>
  </si>
  <si>
    <t xml:space="preserve">    0.6217</t>
  </si>
  <si>
    <t xml:space="preserve">    0.1980</t>
  </si>
  <si>
    <t xml:space="preserve">    4.8788</t>
  </si>
  <si>
    <t xml:space="preserve">   39.6320</t>
  </si>
  <si>
    <t xml:space="preserve">    3.9239</t>
  </si>
  <si>
    <t xml:space="preserve">    1.5117</t>
  </si>
  <si>
    <t xml:space="preserve">    0.2178</t>
  </si>
  <si>
    <t xml:space="preserve">    0.3292</t>
  </si>
  <si>
    <t xml:space="preserve">   -0.1091</t>
  </si>
  <si>
    <t xml:space="preserve">    0.1861</t>
  </si>
  <si>
    <t xml:space="preserve">   -0.0051</t>
  </si>
  <si>
    <t xml:space="preserve">   -0.3256</t>
  </si>
  <si>
    <t xml:space="preserve">    0.0486</t>
  </si>
  <si>
    <t xml:space="preserve">   -0.2137</t>
  </si>
  <si>
    <t xml:space="preserve">   -0.0150</t>
  </si>
  <si>
    <t xml:space="preserve">   -0.1229</t>
  </si>
  <si>
    <t xml:space="preserve">    0.6765</t>
  </si>
  <si>
    <t xml:space="preserve">    0.2797</t>
  </si>
  <si>
    <t xml:space="preserve">  210.6380</t>
  </si>
  <si>
    <t xml:space="preserve">    1.0298</t>
  </si>
  <si>
    <t xml:space="preserve">    4.4926</t>
  </si>
  <si>
    <t xml:space="preserve">    0.0736</t>
  </si>
  <si>
    <t xml:space="preserve">    0.2265</t>
  </si>
  <si>
    <t xml:space="preserve">    0.1088</t>
  </si>
  <si>
    <t xml:space="preserve">  970.7728</t>
  </si>
  <si>
    <t xml:space="preserve">    0.6444</t>
  </si>
  <si>
    <t xml:space="preserve">    0.2840</t>
  </si>
  <si>
    <t xml:space="preserve">    6.5808</t>
  </si>
  <si>
    <t xml:space="preserve">   35.9599</t>
  </si>
  <si>
    <t xml:space="preserve">    5.1061</t>
  </si>
  <si>
    <t xml:space="preserve">    0.1402</t>
  </si>
  <si>
    <t xml:space="preserve">    1.3567</t>
  </si>
  <si>
    <t xml:space="preserve">    0.2317</t>
  </si>
  <si>
    <t xml:space="preserve">    0.1970</t>
  </si>
  <si>
    <t xml:space="preserve">    0.0188</t>
  </si>
  <si>
    <t xml:space="preserve">   -0.1522</t>
  </si>
  <si>
    <t xml:space="preserve">   -0.1321</t>
  </si>
  <si>
    <t xml:space="preserve">    0.1461</t>
  </si>
  <si>
    <t xml:space="preserve">   -0.0054</t>
  </si>
  <si>
    <t xml:space="preserve">    0.5439</t>
  </si>
  <si>
    <t xml:space="preserve">    0.1404</t>
  </si>
  <si>
    <t xml:space="preserve">    0.2581</t>
  </si>
  <si>
    <t xml:space="preserve">  136.9674</t>
  </si>
  <si>
    <t xml:space="preserve">    3.8306</t>
  </si>
  <si>
    <t xml:space="preserve">    0.0715</t>
  </si>
  <si>
    <t xml:space="preserve">    0.2801</t>
  </si>
  <si>
    <t xml:space="preserve">    0.1216</t>
  </si>
  <si>
    <t xml:space="preserve">  985.5283</t>
  </si>
  <si>
    <t xml:space="preserve">    0.5032</t>
  </si>
  <si>
    <t xml:space="preserve">    0.2685</t>
  </si>
  <si>
    <t xml:space="preserve">    4.8915</t>
  </si>
  <si>
    <t xml:space="preserve">   36.1987</t>
  </si>
  <si>
    <t xml:space="preserve">    4.8605</t>
  </si>
  <si>
    <t xml:space="preserve">    0.1505</t>
  </si>
  <si>
    <t xml:space="preserve">    1.6477</t>
  </si>
  <si>
    <t xml:space="preserve">   -0.0106</t>
  </si>
  <si>
    <t xml:space="preserve">    0.1675</t>
  </si>
  <si>
    <t xml:space="preserve">   -0.0311</t>
  </si>
  <si>
    <t xml:space="preserve">   -0.2742</t>
  </si>
  <si>
    <t xml:space="preserve">   -0.2053</t>
  </si>
  <si>
    <t xml:space="preserve">    0.0007</t>
  </si>
  <si>
    <t xml:space="preserve">    0.7115</t>
  </si>
  <si>
    <t xml:space="preserve">    0.1973</t>
  </si>
  <si>
    <t xml:space="preserve">  218.5504</t>
  </si>
  <si>
    <t xml:space="preserve">    1.0350</t>
  </si>
  <si>
    <t xml:space="preserve">    3.4480</t>
  </si>
  <si>
    <t xml:space="preserve">    0.3019</t>
  </si>
  <si>
    <t xml:space="preserve">    0.1292</t>
  </si>
  <si>
    <t xml:space="preserve">  967.8653</t>
  </si>
  <si>
    <t xml:space="preserve">    0.6764</t>
  </si>
  <si>
    <t xml:space="preserve">    5.6873</t>
  </si>
  <si>
    <t xml:space="preserve">   42.2374</t>
  </si>
  <si>
    <t xml:space="preserve">    4.2040</t>
  </si>
  <si>
    <t xml:space="preserve">    0.0474</t>
  </si>
  <si>
    <t xml:space="preserve">    0.1905</t>
  </si>
  <si>
    <t xml:space="preserve">    1.5525</t>
  </si>
  <si>
    <t xml:space="preserve">    0.3000</t>
  </si>
  <si>
    <t xml:space="preserve">   -0.0161</t>
  </si>
  <si>
    <t xml:space="preserve">   -0.0751</t>
  </si>
  <si>
    <t xml:space="preserve">    0.1773</t>
  </si>
  <si>
    <t xml:space="preserve">    0.1195</t>
  </si>
  <si>
    <t xml:space="preserve">    0.2493</t>
  </si>
  <si>
    <t xml:space="preserve">    0.1165</t>
  </si>
  <si>
    <t xml:space="preserve">   -0.2296</t>
  </si>
  <si>
    <t xml:space="preserve">    0.1000</t>
  </si>
  <si>
    <t xml:space="preserve">    0.6162</t>
  </si>
  <si>
    <t xml:space="preserve">    0.1082</t>
  </si>
  <si>
    <t xml:space="preserve">  157.4101</t>
  </si>
  <si>
    <t xml:space="preserve">    1.6594</t>
  </si>
  <si>
    <t xml:space="preserve">    3.8231</t>
  </si>
  <si>
    <t xml:space="preserve">    0.0681</t>
  </si>
  <si>
    <t xml:space="preserve">    0.2725</t>
  </si>
  <si>
    <t xml:space="preserve">  949.9843</t>
  </si>
  <si>
    <t xml:space="preserve">    0.5753</t>
  </si>
  <si>
    <t xml:space="preserve">    4.6131</t>
  </si>
  <si>
    <t xml:space="preserve">   46.1461</t>
  </si>
  <si>
    <t xml:space="preserve">    4.0093</t>
  </si>
  <si>
    <t xml:space="preserve">    0.0433</t>
  </si>
  <si>
    <t xml:space="preserve">    2.2971</t>
  </si>
  <si>
    <t xml:space="preserve">    0.4048</t>
  </si>
  <si>
    <t xml:space="preserve">    0.3975</t>
  </si>
  <si>
    <t xml:space="preserve">    0.0488</t>
  </si>
  <si>
    <t>C0016930</t>
  </si>
  <si>
    <t xml:space="preserve">    0.1782</t>
  </si>
  <si>
    <t>DK0:[MICROCT.DATA.00000700.00017302]</t>
  </si>
  <si>
    <t xml:space="preserve">    0.0800</t>
  </si>
  <si>
    <t xml:space="preserve">    0.1513</t>
  </si>
  <si>
    <t xml:space="preserve">    0.0905</t>
  </si>
  <si>
    <t xml:space="preserve">    0.1160</t>
  </si>
  <si>
    <t xml:space="preserve">    0.2709</t>
  </si>
  <si>
    <t xml:space="preserve">    0.2229</t>
  </si>
  <si>
    <t xml:space="preserve">    0.1740</t>
  </si>
  <si>
    <t xml:space="preserve">   -0.0140</t>
  </si>
  <si>
    <t xml:space="preserve">    0.0564</t>
  </si>
  <si>
    <t xml:space="preserve">    0.3258</t>
  </si>
  <si>
    <t xml:space="preserve">    0.0467</t>
  </si>
  <si>
    <t xml:space="preserve">    0.1435</t>
  </si>
  <si>
    <t xml:space="preserve">   50.6432</t>
  </si>
  <si>
    <t xml:space="preserve">    1.6214</t>
  </si>
  <si>
    <t xml:space="preserve">    3.1387</t>
  </si>
  <si>
    <t xml:space="preserve">    0.0759</t>
  </si>
  <si>
    <t xml:space="preserve">    0.3499</t>
  </si>
  <si>
    <t xml:space="preserve">    0.1278</t>
  </si>
  <si>
    <t xml:space="preserve">    0.0378</t>
  </si>
  <si>
    <t xml:space="preserve">    0.1025</t>
  </si>
  <si>
    <t xml:space="preserve">  935.0834</t>
  </si>
  <si>
    <t xml:space="preserve">    0.3060</t>
  </si>
  <si>
    <t xml:space="preserve">    0.1413</t>
  </si>
  <si>
    <t xml:space="preserve">    1.6228</t>
  </si>
  <si>
    <t xml:space="preserve">   37.5215</t>
  </si>
  <si>
    <t xml:space="preserve">    2.6517</t>
  </si>
  <si>
    <t xml:space="preserve">    0.3238</t>
  </si>
  <si>
    <t xml:space="preserve">    1.6693</t>
  </si>
  <si>
    <t xml:space="preserve">    0.2915</t>
  </si>
  <si>
    <t xml:space="preserve">    0.4865</t>
  </si>
  <si>
    <t xml:space="preserve">    0.4249</t>
  </si>
  <si>
    <t xml:space="preserve">   -0.0838</t>
  </si>
  <si>
    <t xml:space="preserve">    0.0279</t>
  </si>
  <si>
    <t xml:space="preserve">    0.2778</t>
  </si>
  <si>
    <t xml:space="preserve">    0.4532</t>
  </si>
  <si>
    <t xml:space="preserve">    0.1262</t>
  </si>
  <si>
    <t xml:space="preserve">   -0.0946</t>
  </si>
  <si>
    <t xml:space="preserve">    0.4083</t>
  </si>
  <si>
    <t xml:space="preserve">   -0.0696</t>
  </si>
  <si>
    <t xml:space="preserve">    0.6749</t>
  </si>
  <si>
    <t xml:space="preserve">    0.1314</t>
  </si>
  <si>
    <t xml:space="preserve">   83.7142</t>
  </si>
  <si>
    <t xml:space="preserve">    4.2939</t>
  </si>
  <si>
    <t xml:space="preserve">    0.2410</t>
  </si>
  <si>
    <t xml:space="preserve">    0.0927</t>
  </si>
  <si>
    <t xml:space="preserve">    0.0270</t>
  </si>
  <si>
    <t xml:space="preserve">    0.0781</t>
  </si>
  <si>
    <t xml:space="preserve">  919.3104</t>
  </si>
  <si>
    <t xml:space="preserve">    0.6313</t>
  </si>
  <si>
    <t xml:space="preserve">    0.1237</t>
  </si>
  <si>
    <t xml:space="preserve">    0.1959</t>
  </si>
  <si>
    <t xml:space="preserve">    4.6536</t>
  </si>
  <si>
    <t xml:space="preserve">   37.6209</t>
  </si>
  <si>
    <t xml:space="preserve">    3.6858</t>
  </si>
  <si>
    <t xml:space="preserve">    0.0532</t>
  </si>
  <si>
    <t xml:space="preserve">    0.2181</t>
  </si>
  <si>
    <t xml:space="preserve">    1.7466</t>
  </si>
  <si>
    <t xml:space="preserve">    0.2107</t>
  </si>
  <si>
    <t xml:space="preserve">    0.3680</t>
  </si>
  <si>
    <t xml:space="preserve">    0.2923</t>
  </si>
  <si>
    <t xml:space="preserve">    0.0241</t>
  </si>
  <si>
    <t xml:space="preserve">    0.2081</t>
  </si>
  <si>
    <t xml:space="preserve">   -0.0304</t>
  </si>
  <si>
    <t xml:space="preserve">   -0.3647</t>
  </si>
  <si>
    <t xml:space="preserve">   -0.2897</t>
  </si>
  <si>
    <t xml:space="preserve">   -0.0336</t>
  </si>
  <si>
    <t xml:space="preserve">    0.4339</t>
  </si>
  <si>
    <t xml:space="preserve">   94.4928</t>
  </si>
  <si>
    <t xml:space="preserve">    1.6867</t>
  </si>
  <si>
    <t xml:space="preserve">    3.7658</t>
  </si>
  <si>
    <t xml:space="preserve">    0.0527</t>
  </si>
  <si>
    <t xml:space="preserve">    0.0973</t>
  </si>
  <si>
    <t xml:space="preserve">    0.0940</t>
  </si>
  <si>
    <t>~  886.673</t>
  </si>
  <si>
    <t xml:space="preserve">    0.4104</t>
  </si>
  <si>
    <t xml:space="preserve">    0.1407</t>
  </si>
  <si>
    <t xml:space="preserve">    2.7153</t>
  </si>
  <si>
    <t xml:space="preserve">   47.0102</t>
  </si>
  <si>
    <t xml:space="preserve">    3.3081</t>
  </si>
  <si>
    <t xml:space="preserve">    0.2597</t>
  </si>
  <si>
    <t xml:space="preserve">    1.6937</t>
  </si>
  <si>
    <t xml:space="preserve">    0.4122</t>
  </si>
  <si>
    <t xml:space="preserve">    0.3072</t>
  </si>
  <si>
    <t xml:space="preserve">    0.0199</t>
  </si>
  <si>
    <t xml:space="preserve">    0.2012</t>
  </si>
  <si>
    <t xml:space="preserve">   -0.3535</t>
  </si>
  <si>
    <t xml:space="preserve">    0.0664</t>
  </si>
  <si>
    <t xml:space="preserve">   -0.2624</t>
  </si>
  <si>
    <t xml:space="preserve">   -0.1559</t>
  </si>
  <si>
    <t xml:space="preserve">   -0.0351</t>
  </si>
  <si>
    <t xml:space="preserve">    0.3301</t>
  </si>
  <si>
    <t xml:space="preserve">    0.0918</t>
  </si>
  <si>
    <t xml:space="preserve">    0.2781</t>
  </si>
  <si>
    <t xml:space="preserve">   78.7640</t>
  </si>
  <si>
    <t xml:space="preserve">    1.6044</t>
  </si>
  <si>
    <t xml:space="preserve">    4.8744</t>
  </si>
  <si>
    <t xml:space="preserve">    0.2217</t>
  </si>
  <si>
    <t xml:space="preserve">  942.5703</t>
  </si>
  <si>
    <t xml:space="preserve">    0.3048</t>
  </si>
  <si>
    <t xml:space="preserve">    3.0569</t>
  </si>
  <si>
    <t xml:space="preserve">   35.4671</t>
  </si>
  <si>
    <t xml:space="preserve">    5.0152</t>
  </si>
  <si>
    <t xml:space="preserve">    1.9217</t>
  </si>
  <si>
    <t xml:space="preserve">    0.2813</t>
  </si>
  <si>
    <t xml:space="preserve">   -0.0038</t>
  </si>
  <si>
    <t xml:space="preserve">    0.1462</t>
  </si>
  <si>
    <t xml:space="preserve">    0.0519</t>
  </si>
  <si>
    <t xml:space="preserve">   -0.0079</t>
  </si>
  <si>
    <t xml:space="preserve">   -0.0426</t>
  </si>
  <si>
    <t xml:space="preserve">    0.2279</t>
  </si>
  <si>
    <t xml:space="preserve">    0.6260</t>
  </si>
  <si>
    <t xml:space="preserve">    0.2593</t>
  </si>
  <si>
    <t xml:space="preserve">  144.5627</t>
  </si>
  <si>
    <t xml:space="preserve">    0.6839</t>
  </si>
  <si>
    <t xml:space="preserve">    4.7207</t>
  </si>
  <si>
    <t xml:space="preserve">    0.0260</t>
  </si>
  <si>
    <t xml:space="preserve">    0.5947</t>
  </si>
  <si>
    <t xml:space="preserve">    0.1568</t>
  </si>
  <si>
    <t xml:space="preserve">    6.0803</t>
  </si>
  <si>
    <t xml:space="preserve">   38.7808</t>
  </si>
  <si>
    <t xml:space="preserve">    5.1124</t>
  </si>
  <si>
    <t xml:space="preserve">    0.0516</t>
  </si>
  <si>
    <t xml:space="preserve">    0.1440</t>
  </si>
  <si>
    <t xml:space="preserve">    1.2456</t>
  </si>
  <si>
    <t xml:space="preserve">    0.1793</t>
  </si>
  <si>
    <t xml:space="preserve">    0.2234</t>
  </si>
  <si>
    <t xml:space="preserve">    0.1908</t>
  </si>
  <si>
    <t xml:space="preserve">    0.0285</t>
  </si>
  <si>
    <t xml:space="preserve">    0.0769</t>
  </si>
  <si>
    <t xml:space="preserve">    0.1595</t>
  </si>
  <si>
    <t xml:space="preserve">    0.0804</t>
  </si>
  <si>
    <t xml:space="preserve">   -0.0736</t>
  </si>
  <si>
    <t xml:space="preserve">   -0.0880</t>
  </si>
  <si>
    <t xml:space="preserve">    0.1581</t>
  </si>
  <si>
    <t xml:space="preserve">   -0.0605</t>
  </si>
  <si>
    <t xml:space="preserve">    0.5847</t>
  </si>
  <si>
    <t xml:space="preserve">    0.2166</t>
  </si>
  <si>
    <t xml:space="preserve">  172.7440</t>
  </si>
  <si>
    <t xml:space="preserve">    0.3293</t>
  </si>
  <si>
    <t xml:space="preserve">    5.6914</t>
  </si>
  <si>
    <t xml:space="preserve">    0.1854</t>
  </si>
  <si>
    <t xml:space="preserve">    0.0320</t>
  </si>
  <si>
    <t xml:space="preserve">  977.0966</t>
  </si>
  <si>
    <t xml:space="preserve">    0.5495</t>
  </si>
  <si>
    <t xml:space="preserve">    0.2094</t>
  </si>
  <si>
    <t xml:space="preserve">    0.3811</t>
  </si>
  <si>
    <t xml:space="preserve">    6.7589</t>
  </si>
  <si>
    <t xml:space="preserve">   32.2732</t>
  </si>
  <si>
    <t xml:space="preserve">    6.1495</t>
  </si>
  <si>
    <t xml:space="preserve">    1.6089</t>
  </si>
  <si>
    <t xml:space="preserve">    0.1305</t>
  </si>
  <si>
    <t xml:space="preserve">    0.2099</t>
  </si>
  <si>
    <t xml:space="preserve">    0.1723</t>
  </si>
  <si>
    <t xml:space="preserve">    0.0075</t>
  </si>
  <si>
    <t xml:space="preserve">   -0.1989</t>
  </si>
  <si>
    <t xml:space="preserve">   -0.1630</t>
  </si>
  <si>
    <t xml:space="preserve">    0.6112</t>
  </si>
  <si>
    <t xml:space="preserve">    0.1537</t>
  </si>
  <si>
    <t xml:space="preserve">    0.2515</t>
  </si>
  <si>
    <t xml:space="preserve">  125.1621</t>
  </si>
  <si>
    <t xml:space="preserve">    0.9842</t>
  </si>
  <si>
    <t xml:space="preserve">    4.7844</t>
  </si>
  <si>
    <t xml:space="preserve">    0.0649</t>
  </si>
  <si>
    <t xml:space="preserve">    0.2160</t>
  </si>
  <si>
    <t xml:space="preserve">  921.9998</t>
  </si>
  <si>
    <t xml:space="preserve">    0.5730</t>
  </si>
  <si>
    <t xml:space="preserve">    0.2535</t>
  </si>
  <si>
    <t xml:space="preserve">    5.5553</t>
  </si>
  <si>
    <t xml:space="preserve">   38.2370</t>
  </si>
  <si>
    <t xml:space="preserve">    4.8473</t>
  </si>
  <si>
    <t xml:space="preserve">    0.0523</t>
  </si>
  <si>
    <t xml:space="preserve">    1.3592</t>
  </si>
  <si>
    <t xml:space="preserve">    0.1780</t>
  </si>
  <si>
    <t xml:space="preserve">    0.2420</t>
  </si>
  <si>
    <t xml:space="preserve">   -0.0187</t>
  </si>
  <si>
    <t xml:space="preserve">   -0.0232</t>
  </si>
  <si>
    <t xml:space="preserve">    0.1755</t>
  </si>
  <si>
    <t xml:space="preserve">   -0.1284</t>
  </si>
  <si>
    <t xml:space="preserve">    0.1774</t>
  </si>
  <si>
    <t xml:space="preserve">    0.4243</t>
  </si>
  <si>
    <t xml:space="preserve">    0.2481</t>
  </si>
  <si>
    <t xml:space="preserve">   96.6318</t>
  </si>
  <si>
    <t xml:space="preserve">    0.6518</t>
  </si>
  <si>
    <t xml:space="preserve">    4.0592</t>
  </si>
  <si>
    <t xml:space="preserve">    0.2818</t>
  </si>
  <si>
    <t xml:space="preserve">    0.0372</t>
  </si>
  <si>
    <t xml:space="preserve">    0.3995</t>
  </si>
  <si>
    <t xml:space="preserve">    0.1017</t>
  </si>
  <si>
    <t xml:space="preserve">    0.2546</t>
  </si>
  <si>
    <t xml:space="preserve">    3.3413</t>
  </si>
  <si>
    <t xml:space="preserve">   32.8459</t>
  </si>
  <si>
    <t xml:space="preserve">    4.1819</t>
  </si>
  <si>
    <t xml:space="preserve">    0.0609</t>
  </si>
  <si>
    <t xml:space="preserve">    1.8179</t>
  </si>
  <si>
    <t xml:space="preserve">    0.1930</t>
  </si>
  <si>
    <t xml:space="preserve">    0.3509</t>
  </si>
  <si>
    <t xml:space="preserve">   -0.0067</t>
  </si>
  <si>
    <t xml:space="preserve">   -0.0127</t>
  </si>
  <si>
    <t xml:space="preserve">    0.1925</t>
  </si>
  <si>
    <t xml:space="preserve">   -0.1083</t>
  </si>
  <si>
    <t xml:space="preserve">   -0.3328</t>
  </si>
  <si>
    <t xml:space="preserve">   -0.0257</t>
  </si>
  <si>
    <t xml:space="preserve">   -0.2207</t>
  </si>
  <si>
    <t xml:space="preserve">    0.0720</t>
  </si>
  <si>
    <t xml:space="preserve">    0.6631</t>
  </si>
  <si>
    <t xml:space="preserve">    0.1209</t>
  </si>
  <si>
    <t xml:space="preserve">    0.1824</t>
  </si>
  <si>
    <t xml:space="preserve">   98.0258</t>
  </si>
  <si>
    <t xml:space="preserve">    1.2815</t>
  </si>
  <si>
    <t xml:space="preserve">    3.3648</t>
  </si>
  <si>
    <t xml:space="preserve">    0.0725</t>
  </si>
  <si>
    <t xml:space="preserve">    0.3125</t>
  </si>
  <si>
    <t xml:space="preserve">    0.1451</t>
  </si>
  <si>
    <t xml:space="preserve">  952.0196</t>
  </si>
  <si>
    <t xml:space="preserve">    0.1154</t>
  </si>
  <si>
    <t xml:space="preserve">    4.3890</t>
  </si>
  <si>
    <t xml:space="preserve">   38.0486</t>
  </si>
  <si>
    <t xml:space="preserve">    3.5006</t>
  </si>
  <si>
    <t xml:space="preserve">    0.2331</t>
  </si>
  <si>
    <t xml:space="preserve">    1.6268</t>
  </si>
  <si>
    <t xml:space="preserve">    0.3764</t>
  </si>
  <si>
    <t xml:space="preserve">    0.2939</t>
  </si>
  <si>
    <t xml:space="preserve">    0.0334</t>
  </si>
  <si>
    <t xml:space="preserve">   -0.0129</t>
  </si>
  <si>
    <t xml:space="preserve">   -0.2286</t>
  </si>
  <si>
    <t xml:space="preserve">    0.3367</t>
  </si>
  <si>
    <t xml:space="preserve">   -0.0453</t>
  </si>
  <si>
    <t xml:space="preserve">    0.8309</t>
  </si>
  <si>
    <t xml:space="preserve">    0.2628</t>
  </si>
  <si>
    <t xml:space="preserve">    0.3163</t>
  </si>
  <si>
    <t xml:space="preserve">   84.8468</t>
  </si>
  <si>
    <t xml:space="preserve">    0.5751</t>
  </si>
  <si>
    <t xml:space="preserve">    4.7435</t>
  </si>
  <si>
    <t xml:space="preserve">    0.0853</t>
  </si>
  <si>
    <t xml:space="preserve">    0.2109</t>
  </si>
  <si>
    <t xml:space="preserve">    0.0297</t>
  </si>
  <si>
    <t xml:space="preserve">    0.0841</t>
  </si>
  <si>
    <t xml:space="preserve">  970.8455</t>
  </si>
  <si>
    <t xml:space="preserve">    0.7841</t>
  </si>
  <si>
    <t xml:space="preserve">    0.2567</t>
  </si>
  <si>
    <t xml:space="preserve">    0.3274</t>
  </si>
  <si>
    <t xml:space="preserve">    7.4582</t>
  </si>
  <si>
    <t xml:space="preserve">   29.0487</t>
  </si>
  <si>
    <t xml:space="preserve">    4.7559</t>
  </si>
  <si>
    <t xml:space="preserve">    0.1414</t>
  </si>
  <si>
    <t xml:space="preserve">    0.1984</t>
  </si>
  <si>
    <t xml:space="preserve">   -0.0394</t>
  </si>
  <si>
    <t xml:space="preserve">   -0.1762</t>
  </si>
  <si>
    <t xml:space="preserve">   -0.2191</t>
  </si>
  <si>
    <t xml:space="preserve">   -0.1739</t>
  </si>
  <si>
    <t xml:space="preserve">   -0.1235</t>
  </si>
  <si>
    <t xml:space="preserve">    0.1497</t>
  </si>
  <si>
    <t xml:space="preserve">   -0.0414</t>
  </si>
  <si>
    <t xml:space="preserve">    0.8013</t>
  </si>
  <si>
    <t xml:space="preserve">    0.2636</t>
  </si>
  <si>
    <t xml:space="preserve">  131.0317</t>
  </si>
  <si>
    <t xml:space="preserve">    0.8019</t>
  </si>
  <si>
    <t xml:space="preserve">    4.7894</t>
  </si>
  <si>
    <t xml:space="preserve">    0.2129</t>
  </si>
  <si>
    <t xml:space="preserve">    0.0307</t>
  </si>
  <si>
    <t xml:space="preserve">    0.0727</t>
  </si>
  <si>
    <t xml:space="preserve">  970.3367</t>
  </si>
  <si>
    <t xml:space="preserve">    0.7506</t>
  </si>
  <si>
    <t xml:space="preserve">    0.2027</t>
  </si>
  <si>
    <t xml:space="preserve">    7.3740</t>
  </si>
  <si>
    <t xml:space="preserve">   36.3847</t>
  </si>
  <si>
    <t xml:space="preserve">    4.9119</t>
  </si>
  <si>
    <t xml:space="preserve">    1.4815</t>
  </si>
  <si>
    <t xml:space="preserve">    0.2575</t>
  </si>
  <si>
    <t xml:space="preserve">   -0.1723</t>
  </si>
  <si>
    <t xml:space="preserve">    0.1310</t>
  </si>
  <si>
    <t xml:space="preserve">    0.2211</t>
  </si>
  <si>
    <t xml:space="preserve">    0.0165</t>
  </si>
  <si>
    <t xml:space="preserve">   -0.1705</t>
  </si>
  <si>
    <t xml:space="preserve">    0.7213</t>
  </si>
  <si>
    <t xml:space="preserve">    0.2995</t>
  </si>
  <si>
    <t xml:space="preserve">  167.0674</t>
  </si>
  <si>
    <t xml:space="preserve">    1.0702</t>
  </si>
  <si>
    <t xml:space="preserve">    4.8344</t>
  </si>
  <si>
    <t xml:space="preserve">    0.0881</t>
  </si>
  <si>
    <t xml:space="preserve">    0.0782</t>
  </si>
  <si>
    <t xml:space="preserve"> 1000.1384</t>
  </si>
  <si>
    <t xml:space="preserve">    0.6767</t>
  </si>
  <si>
    <t xml:space="preserve">    0.2078</t>
  </si>
  <si>
    <t xml:space="preserve">    0.3070</t>
  </si>
  <si>
    <t xml:space="preserve">    7.3638</t>
  </si>
  <si>
    <t xml:space="preserve">   35.4433</t>
  </si>
  <si>
    <t xml:space="preserve">    5.4407</t>
  </si>
  <si>
    <t xml:space="preserve">    0.1274</t>
  </si>
  <si>
    <t xml:space="preserve">    1.8489</t>
  </si>
  <si>
    <t xml:space="preserve">    0.2671</t>
  </si>
  <si>
    <t xml:space="preserve">    0.0149</t>
  </si>
  <si>
    <t xml:space="preserve">   -0.0097</t>
  </si>
  <si>
    <t xml:space="preserve">    0.2352</t>
  </si>
  <si>
    <t xml:space="preserve">    0.1255</t>
  </si>
  <si>
    <t xml:space="preserve">   -0.0861</t>
  </si>
  <si>
    <t xml:space="preserve">    0.0200</t>
  </si>
  <si>
    <t xml:space="preserve">    0.7796</t>
  </si>
  <si>
    <t xml:space="preserve">  143.6657</t>
  </si>
  <si>
    <t xml:space="preserve">    0.9055</t>
  </si>
  <si>
    <t xml:space="preserve">    4.2422</t>
  </si>
  <si>
    <t xml:space="preserve">    0.0630</t>
  </si>
  <si>
    <t xml:space="preserve">    0.2380</t>
  </si>
  <si>
    <t xml:space="preserve">    0.1049</t>
  </si>
  <si>
    <t xml:space="preserve">  979.4953</t>
  </si>
  <si>
    <t xml:space="preserve">    0.7413</t>
  </si>
  <si>
    <t xml:space="preserve">    0.2391</t>
  </si>
  <si>
    <t xml:space="preserve">    6.8296</t>
  </si>
  <si>
    <t xml:space="preserve">   38.5368</t>
  </si>
  <si>
    <t xml:space="preserve">    4.6063</t>
  </si>
  <si>
    <t xml:space="preserve">    1.2919</t>
  </si>
  <si>
    <t xml:space="preserve">    0.1968</t>
  </si>
  <si>
    <t xml:space="preserve">    0.2542</t>
  </si>
  <si>
    <t xml:space="preserve">    0.2100</t>
  </si>
  <si>
    <t xml:space="preserve">   -0.1291</t>
  </si>
  <si>
    <t xml:space="preserve">   -0.0317</t>
  </si>
  <si>
    <t xml:space="preserve">    0.0193</t>
  </si>
  <si>
    <t xml:space="preserve">    0.0090</t>
  </si>
  <si>
    <t xml:space="preserve">    0.1564</t>
  </si>
  <si>
    <t xml:space="preserve">    0.1399</t>
  </si>
  <si>
    <t xml:space="preserve">    0.6123</t>
  </si>
  <si>
    <t xml:space="preserve">    0.2384</t>
  </si>
  <si>
    <t xml:space="preserve">    0.3894</t>
  </si>
  <si>
    <t xml:space="preserve">  243.3479</t>
  </si>
  <si>
    <t xml:space="preserve">    6.1317</t>
  </si>
  <si>
    <t xml:space="preserve">    0.0629</t>
  </si>
  <si>
    <t xml:space="preserve">  951.1473</t>
  </si>
  <si>
    <t xml:space="preserve">    0.5650</t>
  </si>
  <si>
    <t xml:space="preserve">    0.2294</t>
  </si>
  <si>
    <t xml:space="preserve">    0.4060</t>
  </si>
  <si>
    <t xml:space="preserve">    8.0647</t>
  </si>
  <si>
    <t xml:space="preserve">   35.1617</t>
  </si>
  <si>
    <t xml:space="preserve">    7.1373</t>
  </si>
  <si>
    <t xml:space="preserve">    0.0569</t>
  </si>
  <si>
    <t xml:space="preserve">    0.0832</t>
  </si>
  <si>
    <t xml:space="preserve">    1.5665</t>
  </si>
  <si>
    <t xml:space="preserve">    0.1473</t>
  </si>
  <si>
    <t xml:space="preserve">    0.0030</t>
  </si>
  <si>
    <t xml:space="preserve">   -0.1778</t>
  </si>
  <si>
    <t xml:space="preserve">    0.0015</t>
  </si>
  <si>
    <t xml:space="preserve">   -0.1469</t>
  </si>
  <si>
    <t xml:space="preserve">    0.0039</t>
  </si>
  <si>
    <t xml:space="preserve">    0.7717</t>
  </si>
  <si>
    <t xml:space="preserve">    0.1910</t>
  </si>
  <si>
    <t xml:space="preserve">    0.2475</t>
  </si>
  <si>
    <t xml:space="preserve">  135.4077</t>
  </si>
  <si>
    <t xml:space="preserve">    0.6382</t>
  </si>
  <si>
    <t xml:space="preserve">    4.7187</t>
  </si>
  <si>
    <t xml:space="preserve">    0.0605</t>
  </si>
  <si>
    <t xml:space="preserve">    0.2124</t>
  </si>
  <si>
    <t>~  883.185</t>
  </si>
  <si>
    <t xml:space="preserve">    0.7287</t>
  </si>
  <si>
    <t xml:space="preserve">    0.1825</t>
  </si>
  <si>
    <t xml:space="preserve">    0.2504</t>
  </si>
  <si>
    <t xml:space="preserve">    6.9952</t>
  </si>
  <si>
    <t xml:space="preserve">   38.3300</t>
  </si>
  <si>
    <t xml:space="preserve">    4.7995</t>
  </si>
  <si>
    <t xml:space="preserve">    0.0522</t>
  </si>
  <si>
    <t xml:space="preserve">    1.4117</t>
  </si>
  <si>
    <t xml:space="preserve">    0.0119</t>
  </si>
  <si>
    <t xml:space="preserve">    0.1171</t>
  </si>
  <si>
    <t xml:space="preserve">    0.0001</t>
  </si>
  <si>
    <t xml:space="preserve">   -0.2584</t>
  </si>
  <si>
    <t xml:space="preserve">    0.1273</t>
  </si>
  <si>
    <t xml:space="preserve">    0.6916</t>
  </si>
  <si>
    <t xml:space="preserve">    0.1559</t>
  </si>
  <si>
    <t xml:space="preserve">    0.2255</t>
  </si>
  <si>
    <t xml:space="preserve">  120.7412</t>
  </si>
  <si>
    <t xml:space="preserve">    0.4205</t>
  </si>
  <si>
    <t xml:space="preserve">    3.3706</t>
  </si>
  <si>
    <t xml:space="preserve">    0.0747</t>
  </si>
  <si>
    <t xml:space="preserve">    0.3244</t>
  </si>
  <si>
    <t xml:space="preserve">    0.1492</t>
  </si>
  <si>
    <t xml:space="preserve">    0.1432</t>
  </si>
  <si>
    <t xml:space="preserve">  980.7309</t>
  </si>
  <si>
    <t xml:space="preserve">    0.6551</t>
  </si>
  <si>
    <t xml:space="preserve">    0.2310</t>
  </si>
  <si>
    <t xml:space="preserve">    5.0911</t>
  </si>
  <si>
    <t xml:space="preserve">   33.6499</t>
  </si>
  <si>
    <t xml:space="preserve">    3.8860</t>
  </si>
  <si>
    <t xml:space="preserve">    0.1979</t>
  </si>
  <si>
    <t xml:space="preserve">    1.4451</t>
  </si>
  <si>
    <t xml:space="preserve">    0.2266</t>
  </si>
  <si>
    <t xml:space="preserve">    0.3275</t>
  </si>
  <si>
    <t xml:space="preserve">    0.2431</t>
  </si>
  <si>
    <t xml:space="preserve">    0.0310</t>
  </si>
  <si>
    <t xml:space="preserve">    0.2220</t>
  </si>
  <si>
    <t xml:space="preserve">   -0.2186</t>
  </si>
  <si>
    <t xml:space="preserve">   -0.2437</t>
  </si>
  <si>
    <t xml:space="preserve">   -0.0063</t>
  </si>
  <si>
    <t xml:space="preserve">   -0.1779</t>
  </si>
  <si>
    <t xml:space="preserve">    0.1583</t>
  </si>
  <si>
    <t>C0016931</t>
  </si>
  <si>
    <t xml:space="preserve">    0.2780</t>
  </si>
  <si>
    <t xml:space="preserve">    0.1217</t>
  </si>
  <si>
    <t xml:space="preserve">    0.2598</t>
  </si>
  <si>
    <t>DK0:[MICROCT.DATA.00000700.00017303]</t>
  </si>
  <si>
    <t xml:space="preserve">    0.2547</t>
  </si>
  <si>
    <t xml:space="preserve">    0.0360</t>
  </si>
  <si>
    <t xml:space="preserve">    0.1549</t>
  </si>
  <si>
    <t xml:space="preserve">   -0.2592</t>
  </si>
  <si>
    <t xml:space="preserve">    0.0002</t>
  </si>
  <si>
    <t xml:space="preserve">    0.2177</t>
  </si>
  <si>
    <t xml:space="preserve">    0.0147</t>
  </si>
  <si>
    <t xml:space="preserve">    0.5089</t>
  </si>
  <si>
    <t xml:space="preserve">  101.1920</t>
  </si>
  <si>
    <t xml:space="preserve">    0.6577</t>
  </si>
  <si>
    <t xml:space="preserve">    3.9990</t>
  </si>
  <si>
    <t xml:space="preserve">    0.0774</t>
  </si>
  <si>
    <t xml:space="preserve">    0.1330</t>
  </si>
  <si>
    <t xml:space="preserve">  993.3785</t>
  </si>
  <si>
    <t xml:space="preserve">    0.4790</t>
  </si>
  <si>
    <t xml:space="preserve">    0.2609</t>
  </si>
  <si>
    <t xml:space="preserve">    4.4789</t>
  </si>
  <si>
    <t xml:space="preserve">   35.8382</t>
  </si>
  <si>
    <t xml:space="preserve">    4.6751</t>
  </si>
  <si>
    <t xml:space="preserve">    1.6809</t>
  </si>
  <si>
    <t xml:space="preserve">    0.2424</t>
  </si>
  <si>
    <t xml:space="preserve">    0.1604</t>
  </si>
  <si>
    <t xml:space="preserve">    0.2693</t>
  </si>
  <si>
    <t xml:space="preserve">   -0.0407</t>
  </si>
  <si>
    <t xml:space="preserve">   -0.0492</t>
  </si>
  <si>
    <t xml:space="preserve">    0.2382</t>
  </si>
  <si>
    <t xml:space="preserve">    0.4933</t>
  </si>
  <si>
    <t xml:space="preserve">   97.3005</t>
  </si>
  <si>
    <t xml:space="preserve">    1.0635</t>
  </si>
  <si>
    <t xml:space="preserve">    3.5849</t>
  </si>
  <si>
    <t xml:space="preserve">    0.3388</t>
  </si>
  <si>
    <t xml:space="preserve"> 1005.0811</t>
  </si>
  <si>
    <t xml:space="preserve">    0.4607</t>
  </si>
  <si>
    <t xml:space="preserve">    0.0967</t>
  </si>
  <si>
    <t xml:space="preserve">    3.5818</t>
  </si>
  <si>
    <t xml:space="preserve">   37.0285</t>
  </si>
  <si>
    <t xml:space="preserve">    3.8873</t>
  </si>
  <si>
    <t xml:space="preserve">    0.0540</t>
  </si>
  <si>
    <t xml:space="preserve">    1.8634</t>
  </si>
  <si>
    <t xml:space="preserve">    0.1954</t>
  </si>
  <si>
    <t xml:space="preserve">    0.3641</t>
  </si>
  <si>
    <t xml:space="preserve">    0.2793</t>
  </si>
  <si>
    <t xml:space="preserve">   -0.0099</t>
  </si>
  <si>
    <t xml:space="preserve">    0.0023</t>
  </si>
  <si>
    <t xml:space="preserve">   -0.1030</t>
  </si>
  <si>
    <t xml:space="preserve">    0.0190</t>
  </si>
  <si>
    <t xml:space="preserve">   -0.0791</t>
  </si>
  <si>
    <t xml:space="preserve">   -0.2678</t>
  </si>
  <si>
    <t xml:space="preserve">   -0.0008</t>
  </si>
  <si>
    <t xml:space="preserve">    0.5711</t>
  </si>
  <si>
    <t xml:space="preserve">    0.1098</t>
  </si>
  <si>
    <t xml:space="preserve">   50.7781</t>
  </si>
  <si>
    <t xml:space="preserve">    0.7273</t>
  </si>
  <si>
    <t xml:space="preserve">    2.9178</t>
  </si>
  <si>
    <t xml:space="preserve">    0.0868</t>
  </si>
  <si>
    <t xml:space="preserve">    0.3844</t>
  </si>
  <si>
    <t xml:space="preserve">    0.1754</t>
  </si>
  <si>
    <t xml:space="preserve">    0.1620</t>
  </si>
  <si>
    <t xml:space="preserve"> 1010.1691</t>
  </si>
  <si>
    <t xml:space="preserve">    0.5419</t>
  </si>
  <si>
    <t xml:space="preserve">    0.1070</t>
  </si>
  <si>
    <t xml:space="preserve">    0.1974</t>
  </si>
  <si>
    <t xml:space="preserve">    3.5196</t>
  </si>
  <si>
    <t xml:space="preserve">   32.9001</t>
  </si>
  <si>
    <t xml:space="preserve">    3.2474</t>
  </si>
  <si>
    <t xml:space="preserve">    0.2471</t>
  </si>
  <si>
    <t xml:space="preserve">    1.7964</t>
  </si>
  <si>
    <t xml:space="preserve">    0.2387</t>
  </si>
  <si>
    <t xml:space="preserve">    0.4287</t>
  </si>
  <si>
    <t xml:space="preserve">    0.2373</t>
  </si>
  <si>
    <t xml:space="preserve">    0.2518</t>
  </si>
  <si>
    <t xml:space="preserve">    0.3468</t>
  </si>
  <si>
    <t xml:space="preserve">   -0.2627</t>
  </si>
  <si>
    <t xml:space="preserve">    0.1918</t>
  </si>
  <si>
    <t xml:space="preserve">    0.4958</t>
  </si>
  <si>
    <t xml:space="preserve">   44.3726</t>
  </si>
  <si>
    <t xml:space="preserve">    0.8440</t>
  </si>
  <si>
    <t xml:space="preserve">    3.4951</t>
  </si>
  <si>
    <t xml:space="preserve">    0.3180</t>
  </si>
  <si>
    <t xml:space="preserve">    0.1456</t>
  </si>
  <si>
    <t xml:space="preserve">    0.1353</t>
  </si>
  <si>
    <t xml:space="preserve"> 1008.4974</t>
  </si>
  <si>
    <t xml:space="preserve">    0.4655</t>
  </si>
  <si>
    <t xml:space="preserve">    0.1113</t>
  </si>
  <si>
    <t xml:space="preserve">    3.6216</t>
  </si>
  <si>
    <t xml:space="preserve">   32.5351</t>
  </si>
  <si>
    <t xml:space="preserve">    3.8900</t>
  </si>
  <si>
    <t xml:space="preserve">    0.0615</t>
  </si>
  <si>
    <t xml:space="preserve">    1.8756</t>
  </si>
  <si>
    <t xml:space="preserve">    0.2057</t>
  </si>
  <si>
    <t xml:space="preserve">    0.3858</t>
  </si>
  <si>
    <t xml:space="preserve">    0.2496</t>
  </si>
  <si>
    <t xml:space="preserve">   -0.0005</t>
  </si>
  <si>
    <t xml:space="preserve">    0.2054</t>
  </si>
  <si>
    <t xml:space="preserve">    0.0118</t>
  </si>
  <si>
    <t xml:space="preserve">   -0.3850</t>
  </si>
  <si>
    <t xml:space="preserve">    0.2495</t>
  </si>
  <si>
    <t xml:space="preserve">    0.0077</t>
  </si>
  <si>
    <t xml:space="preserve">    0.3747</t>
  </si>
  <si>
    <t xml:space="preserve">    0.1791</t>
  </si>
  <si>
    <t xml:space="preserve">   85.4127</t>
  </si>
  <si>
    <t xml:space="preserve">    1.6043</t>
  </si>
  <si>
    <t xml:space="preserve">    3.1760</t>
  </si>
  <si>
    <t xml:space="preserve">    0.3404</t>
  </si>
  <si>
    <t xml:space="preserve"> 1049.5654</t>
  </si>
  <si>
    <t xml:space="preserve">    0.3520</t>
  </si>
  <si>
    <t xml:space="preserve">    0.1788</t>
  </si>
  <si>
    <t xml:space="preserve">    2.4559</t>
  </si>
  <si>
    <t xml:space="preserve">   39.0250</t>
  </si>
  <si>
    <t xml:space="preserve">    3.4885</t>
  </si>
  <si>
    <t xml:space="preserve">    0.2354</t>
  </si>
  <si>
    <t xml:space="preserve">    2.1925</t>
  </si>
  <si>
    <t xml:space="preserve">    0.2016</t>
  </si>
  <si>
    <t xml:space="preserve">    0.4421</t>
  </si>
  <si>
    <t xml:space="preserve">    0.3438</t>
  </si>
  <si>
    <t xml:space="preserve">    0.0352</t>
  </si>
  <si>
    <t xml:space="preserve">    0.1963</t>
  </si>
  <si>
    <t xml:space="preserve">    0.4368</t>
  </si>
  <si>
    <t xml:space="preserve">   -0.0297</t>
  </si>
  <si>
    <t xml:space="preserve">    0.0142</t>
  </si>
  <si>
    <t xml:space="preserve">    0.3377</t>
  </si>
  <si>
    <t xml:space="preserve">   -0.0628</t>
  </si>
  <si>
    <t xml:space="preserve">    0.5826</t>
  </si>
  <si>
    <t xml:space="preserve">    0.2695</t>
  </si>
  <si>
    <t xml:space="preserve">   95.2703</t>
  </si>
  <si>
    <t xml:space="preserve">    0.8583</t>
  </si>
  <si>
    <t xml:space="preserve">    3.9848</t>
  </si>
  <si>
    <t xml:space="preserve">    0.0496</t>
  </si>
  <si>
    <t xml:space="preserve">    0.1266</t>
  </si>
  <si>
    <t xml:space="preserve"> 1023.6163</t>
  </si>
  <si>
    <t xml:space="preserve">    0.5480</t>
  </si>
  <si>
    <t xml:space="preserve">    0.1512</t>
  </si>
  <si>
    <t xml:space="preserve">    0.2760</t>
  </si>
  <si>
    <t xml:space="preserve">    4.9153</t>
  </si>
  <si>
    <t xml:space="preserve">   32.4997</t>
  </si>
  <si>
    <t xml:space="preserve">    4.4844</t>
  </si>
  <si>
    <t xml:space="preserve">    2.0595</t>
  </si>
  <si>
    <t xml:space="preserve">    0.0017</t>
  </si>
  <si>
    <t xml:space="preserve">    0.1676</t>
  </si>
  <si>
    <t xml:space="preserve">   -0.3355</t>
  </si>
  <si>
    <t xml:space="preserve">   -0.2280</t>
  </si>
  <si>
    <t xml:space="preserve">    0.0552</t>
  </si>
  <si>
    <t xml:space="preserve">    0.4806</t>
  </si>
  <si>
    <t xml:space="preserve">    0.2714</t>
  </si>
  <si>
    <t xml:space="preserve">   69.7075</t>
  </si>
  <si>
    <t xml:space="preserve">    0.9078</t>
  </si>
  <si>
    <t xml:space="preserve">    4.6265</t>
  </si>
  <si>
    <t xml:space="preserve">    0.2237</t>
  </si>
  <si>
    <t xml:space="preserve">  979.6407</t>
  </si>
  <si>
    <t xml:space="preserve">    0.4481</t>
  </si>
  <si>
    <t xml:space="preserve">    0.1257</t>
  </si>
  <si>
    <t xml:space="preserve">    4.0422</t>
  </si>
  <si>
    <t xml:space="preserve">   32.1612</t>
  </si>
  <si>
    <t xml:space="preserve">    0.0622</t>
  </si>
  <si>
    <t xml:space="preserve">    1.5510</t>
  </si>
  <si>
    <t xml:space="preserve">    0.1822</t>
  </si>
  <si>
    <t xml:space="preserve">    0.2826</t>
  </si>
  <si>
    <t xml:space="preserve">    0.0128</t>
  </si>
  <si>
    <t xml:space="preserve">   -0.1817</t>
  </si>
  <si>
    <t xml:space="preserve">    0.2096</t>
  </si>
  <si>
    <t xml:space="preserve">   -0.1893</t>
  </si>
  <si>
    <t xml:space="preserve">   -0.1526</t>
  </si>
  <si>
    <t xml:space="preserve">   -0.1696</t>
  </si>
  <si>
    <t xml:space="preserve">   -0.0158</t>
  </si>
  <si>
    <t xml:space="preserve">    0.4801</t>
  </si>
  <si>
    <t xml:space="preserve">    0.2141</t>
  </si>
  <si>
    <t xml:space="preserve">   81.2285</t>
  </si>
  <si>
    <t xml:space="preserve">    1.0709</t>
  </si>
  <si>
    <t xml:space="preserve">    3.8597</t>
  </si>
  <si>
    <t xml:space="preserve">    0.1145</t>
  </si>
  <si>
    <t xml:space="preserve">    0.1074</t>
  </si>
  <si>
    <t xml:space="preserve">  910.3699</t>
  </si>
  <si>
    <t xml:space="preserve">    0.0977</t>
  </si>
  <si>
    <t xml:space="preserve">    3.5831</t>
  </si>
  <si>
    <t xml:space="preserve">   36.6669</t>
  </si>
  <si>
    <t xml:space="preserve">    3.9908</t>
  </si>
  <si>
    <t xml:space="preserve">    0.0545</t>
  </si>
  <si>
    <t xml:space="preserve">    1.9635</t>
  </si>
  <si>
    <t xml:space="preserve">    0.3766</t>
  </si>
  <si>
    <t xml:space="preserve">    0.2592</t>
  </si>
  <si>
    <t xml:space="preserve">    0.0031</t>
  </si>
  <si>
    <t xml:space="preserve">   -0.0543</t>
  </si>
  <si>
    <t xml:space="preserve">    0.3477</t>
  </si>
  <si>
    <t xml:space="preserve">   -0.1372</t>
  </si>
  <si>
    <t xml:space="preserve">   -0.0463</t>
  </si>
  <si>
    <t xml:space="preserve">    0.0995</t>
  </si>
  <si>
    <t xml:space="preserve">    0.2300</t>
  </si>
  <si>
    <t xml:space="preserve">    0.0662</t>
  </si>
  <si>
    <t xml:space="preserve">    0.7326</t>
  </si>
  <si>
    <t xml:space="preserve">    0.2185</t>
  </si>
  <si>
    <t xml:space="preserve">   92.8218</t>
  </si>
  <si>
    <t xml:space="preserve">    0.5203</t>
  </si>
  <si>
    <t xml:space="preserve">    3.7061</t>
  </si>
  <si>
    <t xml:space="preserve">    0.2876</t>
  </si>
  <si>
    <t>~  959.070</t>
  </si>
  <si>
    <t xml:space="preserve">    0.1552</t>
  </si>
  <si>
    <t xml:space="preserve">    5.9755</t>
  </si>
  <si>
    <t xml:space="preserve">   38.5127</t>
  </si>
  <si>
    <t xml:space="preserve">    4.2914</t>
  </si>
  <si>
    <t xml:space="preserve">    0.1811</t>
  </si>
  <si>
    <t xml:space="preserve">    1.2950</t>
  </si>
  <si>
    <t xml:space="preserve">   -0.1118</t>
  </si>
  <si>
    <t xml:space="preserve">   -0.1656</t>
  </si>
  <si>
    <t xml:space="preserve">   -0.2419</t>
  </si>
  <si>
    <t xml:space="preserve">    0.0221</t>
  </si>
  <si>
    <t xml:space="preserve">   -0.1547</t>
  </si>
  <si>
    <t xml:space="preserve">   -0.0728</t>
  </si>
  <si>
    <t xml:space="preserve">    0.1383</t>
  </si>
  <si>
    <t xml:space="preserve">    0.4713</t>
  </si>
  <si>
    <t xml:space="preserve">    0.1280</t>
  </si>
  <si>
    <t xml:space="preserve">    0.2716</t>
  </si>
  <si>
    <t xml:space="preserve">  113.5082</t>
  </si>
  <si>
    <t xml:space="preserve">    0.3617</t>
  </si>
  <si>
    <t xml:space="preserve">    3.8967</t>
  </si>
  <si>
    <t xml:space="preserve">    0.0811</t>
  </si>
  <si>
    <t xml:space="preserve">    0.2916</t>
  </si>
  <si>
    <t xml:space="preserve">    0.1521</t>
  </si>
  <si>
    <t xml:space="preserve">  964.4490</t>
  </si>
  <si>
    <t xml:space="preserve">    0.4434</t>
  </si>
  <si>
    <t xml:space="preserve">    0.1242</t>
  </si>
  <si>
    <t xml:space="preserve">    3.8312</t>
  </si>
  <si>
    <t xml:space="preserve">   30.8489</t>
  </si>
  <si>
    <t xml:space="preserve">    4.3205</t>
  </si>
  <si>
    <t xml:space="preserve">    1.3725</t>
  </si>
  <si>
    <t xml:space="preserve">    0.2025</t>
  </si>
  <si>
    <t xml:space="preserve">    0.2289</t>
  </si>
  <si>
    <t xml:space="preserve">   -0.0234</t>
  </si>
  <si>
    <t xml:space="preserve">   -0.1271</t>
  </si>
  <si>
    <t xml:space="preserve">    0.2756</t>
  </si>
  <si>
    <t xml:space="preserve">   -0.0328</t>
  </si>
  <si>
    <t xml:space="preserve">   -0.0146</t>
  </si>
  <si>
    <t xml:space="preserve">    0.0133</t>
  </si>
  <si>
    <t xml:space="preserve">   -0.1455</t>
  </si>
  <si>
    <t xml:space="preserve">    0.6840</t>
  </si>
  <si>
    <t xml:space="preserve">   64.3300</t>
  </si>
  <si>
    <t xml:space="preserve">    0.7070</t>
  </si>
  <si>
    <t xml:space="preserve">    3.3765</t>
  </si>
  <si>
    <t xml:space="preserve">    0.0819</t>
  </si>
  <si>
    <t xml:space="preserve">    0.3096</t>
  </si>
  <si>
    <t xml:space="preserve">    0.1227</t>
  </si>
  <si>
    <t xml:space="preserve"> 1023.3255</t>
  </si>
  <si>
    <t xml:space="preserve">    0.6472</t>
  </si>
  <si>
    <t xml:space="preserve">    0.2336</t>
  </si>
  <si>
    <t xml:space="preserve">    4.9626</t>
  </si>
  <si>
    <t xml:space="preserve">   32.8244</t>
  </si>
  <si>
    <t xml:space="preserve">    3.8340</t>
  </si>
  <si>
    <t xml:space="preserve">    0.1999</t>
  </si>
  <si>
    <t xml:space="preserve">    1.6712</t>
  </si>
  <si>
    <t xml:space="preserve">    0.2127</t>
  </si>
  <si>
    <t xml:space="preserve">    0.3555</t>
  </si>
  <si>
    <t xml:space="preserve">   -0.0657</t>
  </si>
  <si>
    <t xml:space="preserve">    0.2018</t>
  </si>
  <si>
    <t xml:space="preserve">   -0.3545</t>
  </si>
  <si>
    <t xml:space="preserve">   -0.2469</t>
  </si>
  <si>
    <t xml:space="preserve">   -0.0808</t>
  </si>
  <si>
    <t xml:space="preserve">    0.6328</t>
  </si>
  <si>
    <t xml:space="preserve">    0.2572</t>
  </si>
  <si>
    <t xml:space="preserve">  100.3521</t>
  </si>
  <si>
    <t xml:space="preserve">    0.4526</t>
  </si>
  <si>
    <t xml:space="preserve">    3.9371</t>
  </si>
  <si>
    <t xml:space="preserve">    0.0756</t>
  </si>
  <si>
    <t xml:space="preserve">    0.2731</t>
  </si>
  <si>
    <t xml:space="preserve">    0.0293</t>
  </si>
  <si>
    <t xml:space="preserve">    0.1212</t>
  </si>
  <si>
    <t xml:space="preserve">  955.8720</t>
  </si>
  <si>
    <t xml:space="preserve">    0.5928</t>
  </si>
  <si>
    <t xml:space="preserve">    0.2668</t>
  </si>
  <si>
    <t xml:space="preserve">    5.3172</t>
  </si>
  <si>
    <t xml:space="preserve">   33.6220</t>
  </si>
  <si>
    <t xml:space="preserve">    4.4851</t>
  </si>
  <si>
    <t xml:space="preserve">    1.7610</t>
  </si>
  <si>
    <t xml:space="preserve">    0.3277</t>
  </si>
  <si>
    <t xml:space="preserve">   -0.0259</t>
  </si>
  <si>
    <t xml:space="preserve">   -0.2853</t>
  </si>
  <si>
    <t xml:space="preserve">   -0.1763</t>
  </si>
  <si>
    <t xml:space="preserve">   -0.0979</t>
  </si>
  <si>
    <t xml:space="preserve">   -0.0482</t>
  </si>
  <si>
    <t xml:space="preserve">    0.6524</t>
  </si>
  <si>
    <t xml:space="preserve">    0.2207</t>
  </si>
  <si>
    <t xml:space="preserve">  113.4251</t>
  </si>
  <si>
    <t xml:space="preserve">    1.0206</t>
  </si>
  <si>
    <t xml:space="preserve">    3.3662</t>
  </si>
  <si>
    <t xml:space="preserve">    0.0826</t>
  </si>
  <si>
    <t xml:space="preserve">    0.3219</t>
  </si>
  <si>
    <t xml:space="preserve">    0.0345</t>
  </si>
  <si>
    <t xml:space="preserve"> 1050.8739</t>
  </si>
  <si>
    <t xml:space="preserve">    0.6194</t>
  </si>
  <si>
    <t xml:space="preserve">    0.1395</t>
  </si>
  <si>
    <t xml:space="preserve">    4.8471</t>
  </si>
  <si>
    <t xml:space="preserve">   34.7359</t>
  </si>
  <si>
    <t xml:space="preserve">    3.9127</t>
  </si>
  <si>
    <t xml:space="preserve">    0.0576</t>
  </si>
  <si>
    <t xml:space="preserve">    1.6628</t>
  </si>
  <si>
    <t xml:space="preserve">    0.2103</t>
  </si>
  <si>
    <t xml:space="preserve">    0.3497</t>
  </si>
  <si>
    <t xml:space="preserve">    0.2512</t>
  </si>
  <si>
    <t xml:space="preserve">    0.3298</t>
  </si>
  <si>
    <t xml:space="preserve">   -0.1026</t>
  </si>
  <si>
    <t xml:space="preserve">    0.2305</t>
  </si>
  <si>
    <t xml:space="preserve">    0.9051</t>
  </si>
  <si>
    <t xml:space="preserve">    0.2108</t>
  </si>
  <si>
    <t xml:space="preserve">    0.2329</t>
  </si>
  <si>
    <t xml:space="preserve">   99.9930</t>
  </si>
  <si>
    <t xml:space="preserve">    0.5250</t>
  </si>
  <si>
    <t xml:space="preserve">    4.1317</t>
  </si>
  <si>
    <t xml:space="preserve">    0.0651</t>
  </si>
  <si>
    <t xml:space="preserve">  948.1672</t>
  </si>
  <si>
    <t xml:space="preserve">    0.8632</t>
  </si>
  <si>
    <t xml:space="preserve">    7.5624</t>
  </si>
  <si>
    <t xml:space="preserve">   36.8200</t>
  </si>
  <si>
    <t xml:space="preserve">    4.3803</t>
  </si>
  <si>
    <t xml:space="preserve">    0.0543</t>
  </si>
  <si>
    <t xml:space="preserve">    1.3005</t>
  </si>
  <si>
    <t xml:space="preserve">    0.2043</t>
  </si>
  <si>
    <t xml:space="preserve">    0.2657</t>
  </si>
  <si>
    <t xml:space="preserve">    0.2251</t>
  </si>
  <si>
    <t xml:space="preserve">    0.0395</t>
  </si>
  <si>
    <t xml:space="preserve">    0.0240</t>
  </si>
  <si>
    <t xml:space="preserve">    0.6992</t>
  </si>
  <si>
    <t xml:space="preserve">   90.1017</t>
  </si>
  <si>
    <t xml:space="preserve">    0.5493</t>
  </si>
  <si>
    <t xml:space="preserve">    3.9540</t>
  </si>
  <si>
    <t xml:space="preserve">    0.2538</t>
  </si>
  <si>
    <t xml:space="preserve">    0.1064</t>
  </si>
  <si>
    <t xml:space="preserve">    0.0235</t>
  </si>
  <si>
    <t xml:space="preserve">  956.2354</t>
  </si>
  <si>
    <t xml:space="preserve">    0.6633</t>
  </si>
  <si>
    <t xml:space="preserve">    0.1739</t>
  </si>
  <si>
    <t xml:space="preserve">    0.2622</t>
  </si>
  <si>
    <t xml:space="preserve">    5.9305</t>
  </si>
  <si>
    <t xml:space="preserve">   34.0992</t>
  </si>
  <si>
    <t xml:space="preserve">    4.4706</t>
  </si>
  <si>
    <t xml:space="preserve">    0.0587</t>
  </si>
  <si>
    <t xml:space="preserve">    1.4031</t>
  </si>
  <si>
    <t xml:space="preserve">    0.1983</t>
  </si>
  <si>
    <t xml:space="preserve">    0.2783</t>
  </si>
  <si>
    <t xml:space="preserve">    0.1786</t>
  </si>
  <si>
    <t xml:space="preserve">   -0.2731</t>
  </si>
  <si>
    <t xml:space="preserve">   -0.1880</t>
  </si>
  <si>
    <t xml:space="preserve">   -0.0377</t>
  </si>
  <si>
    <t xml:space="preserve">    0.0926</t>
  </si>
  <si>
    <t xml:space="preserve">    0.8403</t>
  </si>
  <si>
    <t xml:space="preserve">    0.2611</t>
  </si>
  <si>
    <t xml:space="preserve">    0.3107</t>
  </si>
  <si>
    <t xml:space="preserve">  126.1485</t>
  </si>
  <si>
    <t xml:space="preserve">    0.4170</t>
  </si>
  <si>
    <t xml:space="preserve">    4.3898</t>
  </si>
  <si>
    <t xml:space="preserve">    0.0975</t>
  </si>
  <si>
    <t xml:space="preserve">    0.0898</t>
  </si>
  <si>
    <t xml:space="preserve">    0.7923</t>
  </si>
  <si>
    <t xml:space="preserve">    0.3224</t>
  </si>
  <si>
    <t xml:space="preserve">    7.8834</t>
  </si>
  <si>
    <t xml:space="preserve">   30.8617</t>
  </si>
  <si>
    <t xml:space="preserve">    4.9747</t>
  </si>
  <si>
    <t xml:space="preserve">    0.1362</t>
  </si>
  <si>
    <t xml:space="preserve">    1.5192</t>
  </si>
  <si>
    <t xml:space="preserve">    0.0209</t>
  </si>
  <si>
    <t xml:space="preserve">   -0.0120</t>
  </si>
  <si>
    <t xml:space="preserve">    0.1677</t>
  </si>
  <si>
    <t xml:space="preserve">    0.1626</t>
  </si>
  <si>
    <t xml:space="preserve">   -0.1241</t>
  </si>
  <si>
    <t xml:space="preserve">    0.1542</t>
  </si>
  <si>
    <t xml:space="preserve"> 1019.8365</t>
  </si>
  <si>
    <t xml:space="preserve">  932.0306</t>
  </si>
  <si>
    <t>OA6-1RK</t>
  </si>
  <si>
    <t>OA6-2RK</t>
  </si>
  <si>
    <t>OA6-3RK</t>
  </si>
  <si>
    <t>OA6-4RK</t>
  </si>
  <si>
    <t>OA6-5RK</t>
  </si>
  <si>
    <t>OA6-6RK</t>
  </si>
  <si>
    <t>OA6-7RK</t>
  </si>
  <si>
    <t>OA6-8RK</t>
  </si>
  <si>
    <t>OA6-9RK</t>
  </si>
  <si>
    <t>OA6-10RK</t>
  </si>
  <si>
    <t>OA6-11RK</t>
  </si>
  <si>
    <t>OA6-12RK</t>
  </si>
  <si>
    <t>OA6-13LK2</t>
  </si>
  <si>
    <t>OA6-14LK3</t>
  </si>
  <si>
    <t>OA6-15LK4</t>
  </si>
  <si>
    <t>OA6-16LK8</t>
  </si>
  <si>
    <t>OA6-17LK9</t>
  </si>
  <si>
    <t>OA6-18LK10</t>
  </si>
  <si>
    <t>OA7-1L</t>
  </si>
  <si>
    <t>OA7-1R</t>
  </si>
  <si>
    <t>OA7-2L</t>
  </si>
  <si>
    <t>OA7-2R</t>
  </si>
  <si>
    <t>OA7-3L</t>
  </si>
  <si>
    <t>OA7-3R</t>
  </si>
  <si>
    <t>OA7-4L</t>
  </si>
  <si>
    <t>OA7-4R</t>
  </si>
  <si>
    <t>OA7-5L</t>
  </si>
  <si>
    <t>OA7-5R</t>
  </si>
  <si>
    <t>OA7-6L</t>
  </si>
  <si>
    <t>OA7-6R</t>
  </si>
  <si>
    <t>OA7-7L</t>
  </si>
  <si>
    <t>OA7-7R</t>
  </si>
  <si>
    <t>OA7-8L</t>
  </si>
  <si>
    <t>OA7-8R</t>
  </si>
  <si>
    <t>OA8-1R</t>
  </si>
  <si>
    <t>OA8-2R</t>
  </si>
  <si>
    <t>OA8-3R</t>
  </si>
  <si>
    <t>OA8-4R</t>
  </si>
  <si>
    <t>OA8-5R</t>
  </si>
  <si>
    <t>OA8-6R</t>
  </si>
  <si>
    <t>OA8-7R</t>
  </si>
  <si>
    <t>OA8-8R</t>
  </si>
  <si>
    <t>OA8-9R</t>
  </si>
  <si>
    <t>OA8-10R</t>
  </si>
  <si>
    <t>OA8-11R</t>
  </si>
  <si>
    <t>OA8-12R</t>
  </si>
  <si>
    <t>OA8-13L</t>
  </si>
  <si>
    <t>OA8-14L</t>
  </si>
  <si>
    <t>OA8-15L</t>
  </si>
  <si>
    <t>OA8-16L</t>
  </si>
  <si>
    <t>OA8-17L</t>
  </si>
  <si>
    <t>OA8-18L</t>
  </si>
  <si>
    <t>OA8-19L</t>
  </si>
  <si>
    <t>OA8-20L</t>
  </si>
  <si>
    <t>OA8-21L</t>
  </si>
  <si>
    <t>OA8-22L</t>
  </si>
  <si>
    <t>OA8-23L</t>
  </si>
  <si>
    <t>OA8-24L</t>
  </si>
  <si>
    <t>Medial Subchondral Trabecular Bone</t>
  </si>
  <si>
    <t>Lateral Subchondral Trabecular Bone</t>
  </si>
  <si>
    <t>~    1.691</t>
  </si>
  <si>
    <t xml:space="preserve"> 1023.1801</t>
  </si>
  <si>
    <t>~    0.591</t>
  </si>
  <si>
    <t>~    0.145</t>
  </si>
  <si>
    <t>~    0.245</t>
  </si>
  <si>
    <t>~    1.965</t>
  </si>
  <si>
    <t>~   13.548</t>
  </si>
  <si>
    <t>~    1.662</t>
  </si>
  <si>
    <t>~    0.147</t>
  </si>
  <si>
    <t>~    0.454</t>
  </si>
  <si>
    <t>~    4.060</t>
  </si>
  <si>
    <t>~    0.098</t>
  </si>
  <si>
    <t>~    0.399</t>
  </si>
  <si>
    <t>~    0.319</t>
  </si>
  <si>
    <t>~    0.000</t>
  </si>
  <si>
    <t>~   -0.002</t>
  </si>
  <si>
    <t>~   -0.365</t>
  </si>
  <si>
    <t>~   -0.161</t>
  </si>
  <si>
    <t>~   -0.001</t>
  </si>
  <si>
    <t>~   -0.129</t>
  </si>
  <si>
    <t>~    0.291</t>
  </si>
  <si>
    <t>~    0.007</t>
  </si>
  <si>
    <t>~    1.760</t>
  </si>
  <si>
    <t xml:space="preserve">  943.0790</t>
  </si>
  <si>
    <t>~    0.325</t>
  </si>
  <si>
    <t>~    0.088</t>
  </si>
  <si>
    <t>~    0.271</t>
  </si>
  <si>
    <t>~    1.298</t>
  </si>
  <si>
    <t>~   14.721</t>
  </si>
  <si>
    <t>~    1.996</t>
  </si>
  <si>
    <t>~    0.135</t>
  </si>
  <si>
    <t>~    0.365</t>
  </si>
  <si>
    <t>~    4.153</t>
  </si>
  <si>
    <t>~    0.085</t>
  </si>
  <si>
    <t>~    0.356</t>
  </si>
  <si>
    <t>~    0.244</t>
  </si>
  <si>
    <t>~    0.005</t>
  </si>
  <si>
    <t>~    0.352</t>
  </si>
  <si>
    <t>~    0.052</t>
  </si>
  <si>
    <t>~   -0.035</t>
  </si>
  <si>
    <t>~    0.241</t>
  </si>
  <si>
    <t>~   -0.015</t>
  </si>
  <si>
    <t>~    2.228</t>
  </si>
  <si>
    <t xml:space="preserve"> 1061.9222</t>
  </si>
  <si>
    <t>~    0.236</t>
  </si>
  <si>
    <t>~    0.074</t>
  </si>
  <si>
    <t>~    0.314</t>
  </si>
  <si>
    <t>~    1.139</t>
  </si>
  <si>
    <t>~   15.334</t>
  </si>
  <si>
    <t>~    2.409</t>
  </si>
  <si>
    <t>~    0.130</t>
  </si>
  <si>
    <t>~    0.284</t>
  </si>
  <si>
    <t>~    4.061</t>
  </si>
  <si>
    <t>~    0.080</t>
  </si>
  <si>
    <t>~    0.328</t>
  </si>
  <si>
    <t>~    0.238</t>
  </si>
  <si>
    <t>~   -0.003</t>
  </si>
  <si>
    <t>~    0.040</t>
  </si>
  <si>
    <t>~   -0.325</t>
  </si>
  <si>
    <t>~   -0.005</t>
  </si>
  <si>
    <t>~   -0.236</t>
  </si>
  <si>
    <t>~   -0.028</t>
  </si>
  <si>
    <t>~   -0.009</t>
  </si>
  <si>
    <t>~    2.171</t>
  </si>
  <si>
    <t xml:space="preserve"> 1019.6912</t>
  </si>
  <si>
    <t>~    0.203</t>
  </si>
  <si>
    <t>~    0.062</t>
  </si>
  <si>
    <t>~    0.307</t>
  </si>
  <si>
    <t>~    0.788</t>
  </si>
  <si>
    <t>~   12.564</t>
  </si>
  <si>
    <t>~    1.932</t>
  </si>
  <si>
    <t>~    0.159</t>
  </si>
  <si>
    <t>~    0.358</t>
  </si>
  <si>
    <t>~    3.282</t>
  </si>
  <si>
    <t>~    0.108</t>
  </si>
  <si>
    <t>~    0.357</t>
  </si>
  <si>
    <t>~    0.206</t>
  </si>
  <si>
    <t>~    0.002</t>
  </si>
  <si>
    <t>~    0.107</t>
  </si>
  <si>
    <t>~   -0.356</t>
  </si>
  <si>
    <t>~    0.008</t>
  </si>
  <si>
    <t>~   -0.204</t>
  </si>
  <si>
    <t>~    0.001</t>
  </si>
  <si>
    <t>~   -0.029</t>
  </si>
  <si>
    <t>~    2.019</t>
  </si>
  <si>
    <t xml:space="preserve"> 1010.0237</t>
  </si>
  <si>
    <t>~    0.395</t>
  </si>
  <si>
    <t>~    0.124</t>
  </si>
  <si>
    <t>~    0.315</t>
  </si>
  <si>
    <t>~    1.927</t>
  </si>
  <si>
    <t>~   15.449</t>
  </si>
  <si>
    <t>~    2.434</t>
  </si>
  <si>
    <t>~    0.129</t>
  </si>
  <si>
    <t>~    0.281</t>
  </si>
  <si>
    <t>~    4.276</t>
  </si>
  <si>
    <t>~    0.101</t>
  </si>
  <si>
    <t>~    0.435</t>
  </si>
  <si>
    <t>~    0.273</t>
  </si>
  <si>
    <t>~    0.042</t>
  </si>
  <si>
    <t>~   -0.433</t>
  </si>
  <si>
    <t>~    0.003</t>
  </si>
  <si>
    <t>~   -0.271</t>
  </si>
  <si>
    <t>~   -0.026</t>
  </si>
  <si>
    <t>~    2.507</t>
  </si>
  <si>
    <t xml:space="preserve">  986.6186</t>
  </si>
  <si>
    <t>~    0.179</t>
  </si>
  <si>
    <t>~    0.053</t>
  </si>
  <si>
    <t>~    0.295</t>
  </si>
  <si>
    <t>~    0.683</t>
  </si>
  <si>
    <t>~   12.855</t>
  </si>
  <si>
    <t>~    1.897</t>
  </si>
  <si>
    <t>~    0.155</t>
  </si>
  <si>
    <t>~    0.371</t>
  </si>
  <si>
    <t>~    3.181</t>
  </si>
  <si>
    <t>~    0.344</t>
  </si>
  <si>
    <t>~    0.193</t>
  </si>
  <si>
    <t>~   -0.013</t>
  </si>
  <si>
    <t>~   -0.004</t>
  </si>
  <si>
    <t>~    0.049</t>
  </si>
  <si>
    <t>~   -0.340</t>
  </si>
  <si>
    <t>~   -0.008</t>
  </si>
  <si>
    <t>~   -0.190</t>
  </si>
  <si>
    <t>~   -0.025</t>
  </si>
  <si>
    <t>~    2.078</t>
  </si>
  <si>
    <t xml:space="preserve"> 1051.6007</t>
  </si>
  <si>
    <t>~    0.533</t>
  </si>
  <si>
    <t>~    0.099</t>
  </si>
  <si>
    <t>~    0.185</t>
  </si>
  <si>
    <t>~    1.636</t>
  </si>
  <si>
    <t>~   16.514</t>
  </si>
  <si>
    <t>~    1.533</t>
  </si>
  <si>
    <t>~    0.531</t>
  </si>
  <si>
    <t>~    3.786</t>
  </si>
  <si>
    <t>~    0.087</t>
  </si>
  <si>
    <t>~    0.330</t>
  </si>
  <si>
    <t>~    0.210</t>
  </si>
  <si>
    <t>~   -0.172</t>
  </si>
  <si>
    <t>~    0.109</t>
  </si>
  <si>
    <t>~    0.178</t>
  </si>
  <si>
    <t>~    0.013</t>
  </si>
  <si>
    <t xml:space="preserve">  961.2508</t>
  </si>
  <si>
    <t>~    0.120</t>
  </si>
  <si>
    <t>~    0.033</t>
  </si>
  <si>
    <t>~    0.529</t>
  </si>
  <si>
    <t>~   16.024</t>
  </si>
  <si>
    <t>~    2.193</t>
  </si>
  <si>
    <t>~    0.331</t>
  </si>
  <si>
    <t>~    4.008</t>
  </si>
  <si>
    <t>~    0.081</t>
  </si>
  <si>
    <t>~    0.327</t>
  </si>
  <si>
    <t>~    0.172</t>
  </si>
  <si>
    <t>~   -0.000</t>
  </si>
  <si>
    <t>~    0.310</t>
  </si>
  <si>
    <t>~   -0.103</t>
  </si>
  <si>
    <t>~    0.054</t>
  </si>
  <si>
    <t>~    0.163</t>
  </si>
  <si>
    <t>~    0.010</t>
  </si>
  <si>
    <t>~    2.752</t>
  </si>
  <si>
    <t xml:space="preserve"> 1065.1932</t>
  </si>
  <si>
    <t>~    0.126</t>
  </si>
  <si>
    <t>~    1.637</t>
  </si>
  <si>
    <t>~   12.962</t>
  </si>
  <si>
    <t>~    1.535</t>
  </si>
  <si>
    <t>~    0.154</t>
  </si>
  <si>
    <t>~    0.497</t>
  </si>
  <si>
    <t>~    3.892</t>
  </si>
  <si>
    <t>~    0.100</t>
  </si>
  <si>
    <t>~    0.391</t>
  </si>
  <si>
    <t>~    0.256</t>
  </si>
  <si>
    <t>~    0.004</t>
  </si>
  <si>
    <t>~    0.369</t>
  </si>
  <si>
    <t>~    0.128</t>
  </si>
  <si>
    <t>~   -0.083</t>
  </si>
  <si>
    <t>~    0.242</t>
  </si>
  <si>
    <t>~   -0.014</t>
  </si>
  <si>
    <t>~    1.618</t>
  </si>
  <si>
    <t xml:space="preserve">  935.1562</t>
  </si>
  <si>
    <t>~    0.060</t>
  </si>
  <si>
    <t>~    0.191</t>
  </si>
  <si>
    <t>~    1.225</t>
  </si>
  <si>
    <t>~   20.282</t>
  </si>
  <si>
    <t>~    1.940</t>
  </si>
  <si>
    <t>~    0.416</t>
  </si>
  <si>
    <t>~    5.292</t>
  </si>
  <si>
    <t>~    0.067</t>
  </si>
  <si>
    <t>~    0.240</t>
  </si>
  <si>
    <t>~   -0.326</t>
  </si>
  <si>
    <t>~   -0.144</t>
  </si>
  <si>
    <t>~   -0.097</t>
  </si>
  <si>
    <t>~    0.220</t>
  </si>
  <si>
    <t>~    2.453</t>
  </si>
  <si>
    <t xml:space="preserve">  963.3587</t>
  </si>
  <si>
    <t>~    0.041</t>
  </si>
  <si>
    <t>~    0.225</t>
  </si>
  <si>
    <t>~    0.685</t>
  </si>
  <si>
    <t>~   16.374</t>
  </si>
  <si>
    <t>~    1.848</t>
  </si>
  <si>
    <t>~    0.122</t>
  </si>
  <si>
    <t>~    0.418</t>
  </si>
  <si>
    <t>~    2.266</t>
  </si>
  <si>
    <t>~    0.096</t>
  </si>
  <si>
    <t>~    0.219</t>
  </si>
  <si>
    <t>~    0.014</t>
  </si>
  <si>
    <t>~    0.015</t>
  </si>
  <si>
    <t>~    0.094</t>
  </si>
  <si>
    <t>~    0.157</t>
  </si>
  <si>
    <t>~   -0.152</t>
  </si>
  <si>
    <t>~    0.125</t>
  </si>
  <si>
    <t>~   -0.040</t>
  </si>
  <si>
    <t>~    2.111</t>
  </si>
  <si>
    <t xml:space="preserve"> 1050.2196</t>
  </si>
  <si>
    <t>~    0.270</t>
  </si>
  <si>
    <t>~    0.077</t>
  </si>
  <si>
    <t>~    0.989</t>
  </si>
  <si>
    <t>~   12.847</t>
  </si>
  <si>
    <t>~    1.826</t>
  </si>
  <si>
    <t>~    3.982</t>
  </si>
  <si>
    <t>~    0.393</t>
  </si>
  <si>
    <t>~    0.226</t>
  </si>
  <si>
    <t>~    0.012</t>
  </si>
  <si>
    <t>~   -0.383</t>
  </si>
  <si>
    <t>~   -0.218</t>
  </si>
  <si>
    <t>~   -0.051</t>
  </si>
  <si>
    <t>~    0.027</t>
  </si>
  <si>
    <t>~    2.550</t>
  </si>
  <si>
    <t xml:space="preserve"> 1067.9553</t>
  </si>
  <si>
    <t>~    0.543</t>
  </si>
  <si>
    <t>~    1.673</t>
  </si>
  <si>
    <t>~   12.811</t>
  </si>
  <si>
    <t>~    1.538</t>
  </si>
  <si>
    <t>~    0.156</t>
  </si>
  <si>
    <t>~    0.493</t>
  </si>
  <si>
    <t>~    2.654</t>
  </si>
  <si>
    <t>~    0.287</t>
  </si>
  <si>
    <t>~    0.253</t>
  </si>
  <si>
    <t>~    0.133</t>
  </si>
  <si>
    <t>~    0.029</t>
  </si>
  <si>
    <t>~   -0.223</t>
  </si>
  <si>
    <t>~    0.118</t>
  </si>
  <si>
    <t>~    1.829</t>
  </si>
  <si>
    <t xml:space="preserve"> 1009.8057</t>
  </si>
  <si>
    <t>~    0.304</t>
  </si>
  <si>
    <t>~    0.082</t>
  </si>
  <si>
    <t>~    1.172</t>
  </si>
  <si>
    <t>~   14.263</t>
  </si>
  <si>
    <t>~    0.140</t>
  </si>
  <si>
    <t>~    0.378</t>
  </si>
  <si>
    <t>~    3.950</t>
  </si>
  <si>
    <t>~    0.349</t>
  </si>
  <si>
    <t>~    0.255</t>
  </si>
  <si>
    <t>~    0.166</t>
  </si>
  <si>
    <t>~    0.223</t>
  </si>
  <si>
    <t>~   -0.121</t>
  </si>
  <si>
    <t>~   -0.023</t>
  </si>
  <si>
    <t>~    2.948</t>
  </si>
  <si>
    <t xml:space="preserve">  893.5792</t>
  </si>
  <si>
    <t>~    0.058</t>
  </si>
  <si>
    <t>~    0.018</t>
  </si>
  <si>
    <t>~    0.322</t>
  </si>
  <si>
    <t>~   18.582</t>
  </si>
  <si>
    <t>~    2.992</t>
  </si>
  <si>
    <t>~    3.769</t>
  </si>
  <si>
    <t>~    0.063</t>
  </si>
  <si>
    <t>~    0.231</t>
  </si>
  <si>
    <t>~    0.237</t>
  </si>
  <si>
    <t>~    1.840</t>
  </si>
  <si>
    <t xml:space="preserve">  848.0771</t>
  </si>
  <si>
    <t>~    0.023</t>
  </si>
  <si>
    <t>~    0.151</t>
  </si>
  <si>
    <t>~    0.560</t>
  </si>
  <si>
    <t>~   23.739</t>
  </si>
  <si>
    <t>~    1.795</t>
  </si>
  <si>
    <t>~    0.472</t>
  </si>
  <si>
    <t>~    4.564</t>
  </si>
  <si>
    <t>~    0.268</t>
  </si>
  <si>
    <t>~    0.184</t>
  </si>
  <si>
    <t>~    0.263</t>
  </si>
  <si>
    <t>~   -0.052</t>
  </si>
  <si>
    <t>~    0.035</t>
  </si>
  <si>
    <t>~    0.180</t>
  </si>
  <si>
    <t>~    1.823</t>
  </si>
  <si>
    <t xml:space="preserve"> 1077.8407</t>
  </si>
  <si>
    <t>~    0.169</t>
  </si>
  <si>
    <t>~    0.359</t>
  </si>
  <si>
    <t>~    1.881</t>
  </si>
  <si>
    <t>~   11.102</t>
  </si>
  <si>
    <t>~    1.993</t>
  </si>
  <si>
    <t>~    0.321</t>
  </si>
  <si>
    <t>~    3.977</t>
  </si>
  <si>
    <t>~    0.110</t>
  </si>
  <si>
    <t>~    0.437</t>
  </si>
  <si>
    <t>~    0.323</t>
  </si>
  <si>
    <t>~   -0.006</t>
  </si>
  <si>
    <t>~   -0.331</t>
  </si>
  <si>
    <t>~   -0.284</t>
  </si>
  <si>
    <t>~   -0.210</t>
  </si>
  <si>
    <t>~    0.016</t>
  </si>
  <si>
    <t>~    2.885</t>
  </si>
  <si>
    <t xml:space="preserve">  991.4160</t>
  </si>
  <si>
    <t>~    0.317</t>
  </si>
  <si>
    <t>~    0.066</t>
  </si>
  <si>
    <t>~    0.209</t>
  </si>
  <si>
    <t>~    0.862</t>
  </si>
  <si>
    <t>~   13.015</t>
  </si>
  <si>
    <t>~    1.360</t>
  </si>
  <si>
    <t>~    0.581</t>
  </si>
  <si>
    <t>~    3.312</t>
  </si>
  <si>
    <t>~    0.102</t>
  </si>
  <si>
    <t>~    0.340</t>
  </si>
  <si>
    <t>~    0.211</t>
  </si>
  <si>
    <t>~    0.011</t>
  </si>
  <si>
    <t>~    0.337</t>
  </si>
  <si>
    <t>~    0.044</t>
  </si>
  <si>
    <t>~    0.208</t>
  </si>
  <si>
    <t>~   -0.024</t>
  </si>
  <si>
    <t>~    2.018</t>
  </si>
  <si>
    <t>~    0.432</t>
  </si>
  <si>
    <t>~    0.131</t>
  </si>
  <si>
    <t>~    1.711</t>
  </si>
  <si>
    <t>~   12.971</t>
  </si>
  <si>
    <t>~    1.976</t>
  </si>
  <si>
    <t>~    0.351</t>
  </si>
  <si>
    <t>~    4.253</t>
  </si>
  <si>
    <t>~    0.093</t>
  </si>
  <si>
    <t>~    0.396</t>
  </si>
  <si>
    <t>~    0.290</t>
  </si>
  <si>
    <t>~    0.306</t>
  </si>
  <si>
    <t>~    0.250</t>
  </si>
  <si>
    <t>~   -0.183</t>
  </si>
  <si>
    <t>~    0.224</t>
  </si>
  <si>
    <t>~    0.006</t>
  </si>
  <si>
    <t>~    2.806</t>
  </si>
  <si>
    <t xml:space="preserve">  970.1913</t>
  </si>
  <si>
    <t>~    0.335</t>
  </si>
  <si>
    <t>~    0.051</t>
  </si>
  <si>
    <t>~    0.152</t>
  </si>
  <si>
    <t>~    0.740</t>
  </si>
  <si>
    <t>~   14.424</t>
  </si>
  <si>
    <t>~    1.102</t>
  </si>
  <si>
    <t>~    0.768</t>
  </si>
  <si>
    <t>~    3.644</t>
  </si>
  <si>
    <t>~    0.343</t>
  </si>
  <si>
    <t>~    0.181</t>
  </si>
  <si>
    <t>~   -0.138</t>
  </si>
  <si>
    <t>~   -0.314</t>
  </si>
  <si>
    <t>~   -0.165</t>
  </si>
  <si>
    <t>~    0.072</t>
  </si>
  <si>
    <t>~   -0.019</t>
  </si>
  <si>
    <t>~    2.307</t>
  </si>
  <si>
    <t xml:space="preserve"> 1037.7175</t>
  </si>
  <si>
    <t>~    0.575</t>
  </si>
  <si>
    <t>~    0.234</t>
  </si>
  <si>
    <t>~    1.887</t>
  </si>
  <si>
    <t>~   13.968</t>
  </si>
  <si>
    <t>~    1.639</t>
  </si>
  <si>
    <t>~    0.466</t>
  </si>
  <si>
    <t>~    4.280</t>
  </si>
  <si>
    <t>~    0.376</t>
  </si>
  <si>
    <t>~    0.286</t>
  </si>
  <si>
    <t>~   -0.375</t>
  </si>
  <si>
    <t>~   -0.286</t>
  </si>
  <si>
    <t>~    0.017</t>
  </si>
  <si>
    <t>~    1.446</t>
  </si>
  <si>
    <t xml:space="preserve">  975.4975</t>
  </si>
  <si>
    <t>~    0.105</t>
  </si>
  <si>
    <t>~    0.294</t>
  </si>
  <si>
    <t>~    1.661</t>
  </si>
  <si>
    <t>~   15.730</t>
  </si>
  <si>
    <t>~    2.313</t>
  </si>
  <si>
    <t>~    0.305</t>
  </si>
  <si>
    <t>~    5.167</t>
  </si>
  <si>
    <t>~    0.293</t>
  </si>
  <si>
    <t>~   -0.390</t>
  </si>
  <si>
    <t>~   -0.273</t>
  </si>
  <si>
    <t>~   -0.106</t>
  </si>
  <si>
    <t>~    1.917</t>
  </si>
  <si>
    <t xml:space="preserve">  961.1782</t>
  </si>
  <si>
    <t>~    0.028</t>
  </si>
  <si>
    <t>~    0.257</t>
  </si>
  <si>
    <t>~    0.666</t>
  </si>
  <si>
    <t>~   23.559</t>
  </si>
  <si>
    <t>~    3.038</t>
  </si>
  <si>
    <t>~    4.943</t>
  </si>
  <si>
    <t>~    0.265</t>
  </si>
  <si>
    <t>~   -0.221</t>
  </si>
  <si>
    <t>~   -0.146</t>
  </si>
  <si>
    <t>~   -0.102</t>
  </si>
  <si>
    <t>~    1.873</t>
  </si>
  <si>
    <t xml:space="preserve">  929.0505</t>
  </si>
  <si>
    <t>~    0.031</t>
  </si>
  <si>
    <t>~    0.580</t>
  </si>
  <si>
    <t>~   18.462</t>
  </si>
  <si>
    <t>~    3.556</t>
  </si>
  <si>
    <t>~    0.275</t>
  </si>
  <si>
    <t>~    0.076</t>
  </si>
  <si>
    <t>~   -0.033</t>
  </si>
  <si>
    <t>~   -0.017</t>
  </si>
  <si>
    <t>~   -0.147</t>
  </si>
  <si>
    <t>~   -0.027</t>
  </si>
  <si>
    <t>~    1.665</t>
  </si>
  <si>
    <t xml:space="preserve">  979.3499</t>
  </si>
  <si>
    <t>~    0.083</t>
  </si>
  <si>
    <t>~    0.221</t>
  </si>
  <si>
    <t>~    1.279</t>
  </si>
  <si>
    <t>~   15.287</t>
  </si>
  <si>
    <t>~    1.690</t>
  </si>
  <si>
    <t>~    0.460</t>
  </si>
  <si>
    <t>~    5.319</t>
  </si>
  <si>
    <t>~    0.408</t>
  </si>
  <si>
    <t>~    0.278</t>
  </si>
  <si>
    <t>~   -0.351</t>
  </si>
  <si>
    <t>~   -0.206</t>
  </si>
  <si>
    <t>~   -0.141</t>
  </si>
  <si>
    <t>~    1.550</t>
  </si>
  <si>
    <t xml:space="preserve">  989.8168</t>
  </si>
  <si>
    <t>~    0.262</t>
  </si>
  <si>
    <t>~    0.069</t>
  </si>
  <si>
    <t>~    1.221</t>
  </si>
  <si>
    <t>~   17.672</t>
  </si>
  <si>
    <t>~    2.327</t>
  </si>
  <si>
    <t>~    0.316</t>
  </si>
  <si>
    <t>~    5.043</t>
  </si>
  <si>
    <t>~    0.387</t>
  </si>
  <si>
    <t>~    0.267</t>
  </si>
  <si>
    <t>~    0.383</t>
  </si>
  <si>
    <t>~   -0.039</t>
  </si>
  <si>
    <t>~    0.264</t>
  </si>
  <si>
    <t>~    2.067</t>
  </si>
  <si>
    <t xml:space="preserve">  957.2530</t>
  </si>
  <si>
    <t>~    0.285</t>
  </si>
  <si>
    <t>~    1.232</t>
  </si>
  <si>
    <t>~   16.506</t>
  </si>
  <si>
    <t>~    2.162</t>
  </si>
  <si>
    <t>~    0.341</t>
  </si>
  <si>
    <t>~    5.264</t>
  </si>
  <si>
    <t>~    0.073</t>
  </si>
  <si>
    <t>~    0.384</t>
  </si>
  <si>
    <t>~   -0.378</t>
  </si>
  <si>
    <t>~    0.046</t>
  </si>
  <si>
    <t>~    0.260</t>
  </si>
  <si>
    <t>~    1.558</t>
  </si>
  <si>
    <t>~    0.312</t>
  </si>
  <si>
    <t>~    0.272</t>
  </si>
  <si>
    <t>~    1.402</t>
  </si>
  <si>
    <t>~   16.479</t>
  </si>
  <si>
    <t>~    2.242</t>
  </si>
  <si>
    <t>~    0.324</t>
  </si>
  <si>
    <t>~    4.563</t>
  </si>
  <si>
    <t>~    0.368</t>
  </si>
  <si>
    <t>~   -0.093</t>
  </si>
  <si>
    <t>~   -0.061</t>
  </si>
  <si>
    <t>~    0.233</t>
  </si>
  <si>
    <t>~    1.453</t>
  </si>
  <si>
    <t xml:space="preserve">  939.5900</t>
  </si>
  <si>
    <t>~    0.289</t>
  </si>
  <si>
    <t>~    0.095</t>
  </si>
  <si>
    <t>~    0.329</t>
  </si>
  <si>
    <t>~    1.375</t>
  </si>
  <si>
    <t>~   14.425</t>
  </si>
  <si>
    <t>~    2.373</t>
  </si>
  <si>
    <t>~    0.282</t>
  </si>
  <si>
    <t>~    5.165</t>
  </si>
  <si>
    <t>~    0.381</t>
  </si>
  <si>
    <t>~   -0.266</t>
  </si>
  <si>
    <t>~    2.585</t>
  </si>
  <si>
    <t xml:space="preserve"> 1011.4048</t>
  </si>
  <si>
    <t>~    0.176</t>
  </si>
  <si>
    <t>~    0.708</t>
  </si>
  <si>
    <t>~   15.312</t>
  </si>
  <si>
    <t>~    1.350</t>
  </si>
  <si>
    <t>~    0.610</t>
  </si>
  <si>
    <t>~    3.816</t>
  </si>
  <si>
    <t>~    0.332</t>
  </si>
  <si>
    <t>~    0.186</t>
  </si>
  <si>
    <t>~    0.086</t>
  </si>
  <si>
    <t>~   -0.185</t>
  </si>
  <si>
    <t>~    1.754</t>
  </si>
  <si>
    <t xml:space="preserve">  974.5526</t>
  </si>
  <si>
    <t>~    0.372</t>
  </si>
  <si>
    <t>~    0.288</t>
  </si>
  <si>
    <t>~    1.374</t>
  </si>
  <si>
    <t>~   12.812</t>
  </si>
  <si>
    <t>~    1.845</t>
  </si>
  <si>
    <t>~    0.385</t>
  </si>
  <si>
    <t>~    4.057</t>
  </si>
  <si>
    <t>~    0.097</t>
  </si>
  <si>
    <t>~    0.394</t>
  </si>
  <si>
    <t>~   -0.394</t>
  </si>
  <si>
    <t>~   -0.007</t>
  </si>
  <si>
    <t>~    2.023</t>
  </si>
  <si>
    <t xml:space="preserve"> 1002.6824</t>
  </si>
  <si>
    <t>~    0.486</t>
  </si>
  <si>
    <t>~    0.065</t>
  </si>
  <si>
    <t>~    1.142</t>
  </si>
  <si>
    <t>~   17.341</t>
  </si>
  <si>
    <t>~    1.173</t>
  </si>
  <si>
    <t>~    0.736</t>
  </si>
  <si>
    <t>~    3.838</t>
  </si>
  <si>
    <t>~   -0.239</t>
  </si>
  <si>
    <t>~   -0.158</t>
  </si>
  <si>
    <t>~   -0.139</t>
  </si>
  <si>
    <t>~    1.704</t>
  </si>
  <si>
    <t xml:space="preserve">  987.2728</t>
  </si>
  <si>
    <t>~    0.375</t>
  </si>
  <si>
    <t>~    1.328</t>
  </si>
  <si>
    <t>~   13.623</t>
  </si>
  <si>
    <t>~    1.771</t>
  </si>
  <si>
    <t>~    0.146</t>
  </si>
  <si>
    <t>~    0.417</t>
  </si>
  <si>
    <t>~    4.404</t>
  </si>
  <si>
    <t>~    0.283</t>
  </si>
  <si>
    <t>~    0.009</t>
  </si>
  <si>
    <t>~   -0.050</t>
  </si>
  <si>
    <t>~    1.842</t>
  </si>
  <si>
    <t xml:space="preserve">  993.8146</t>
  </si>
  <si>
    <t>~    0.413</t>
  </si>
  <si>
    <t>~    0.150</t>
  </si>
  <si>
    <t>~    1.087</t>
  </si>
  <si>
    <t>~   17.457</t>
  </si>
  <si>
    <t>~    1.314</t>
  </si>
  <si>
    <t>~    0.114</t>
  </si>
  <si>
    <t>~    0.646</t>
  </si>
  <si>
    <t>~    4.023</t>
  </si>
  <si>
    <t>~    0.334</t>
  </si>
  <si>
    <t>~    0.216</t>
  </si>
  <si>
    <t>~   -0.243</t>
  </si>
  <si>
    <t>~   -0.229</t>
  </si>
  <si>
    <t>~   -0.148</t>
  </si>
  <si>
    <t>~    1.442</t>
  </si>
  <si>
    <t xml:space="preserve">  948.6760</t>
  </si>
  <si>
    <t>~    0.064</t>
  </si>
  <si>
    <t>~    1.131</t>
  </si>
  <si>
    <t>~   17.629</t>
  </si>
  <si>
    <t>~    1.930</t>
  </si>
  <si>
    <t>~    0.404</t>
  </si>
  <si>
    <t>~    5.207</t>
  </si>
  <si>
    <t>~    0.070</t>
  </si>
  <si>
    <t>~    0.254</t>
  </si>
  <si>
    <t>~    0.055</t>
  </si>
  <si>
    <t>~   -0.360</t>
  </si>
  <si>
    <t>~   -0.251</t>
  </si>
  <si>
    <t>~   -0.038</t>
  </si>
  <si>
    <t>~    2.027</t>
  </si>
  <si>
    <t xml:space="preserve">  942.2795</t>
  </si>
  <si>
    <t>~    0.037</t>
  </si>
  <si>
    <t>~    0.786</t>
  </si>
  <si>
    <t>~   21.247</t>
  </si>
  <si>
    <t>~    1.651</t>
  </si>
  <si>
    <t>~    0.511</t>
  </si>
  <si>
    <t>~    5.435</t>
  </si>
  <si>
    <t>~    0.061</t>
  </si>
  <si>
    <t>~    0.202</t>
  </si>
  <si>
    <t>~    0.111</t>
  </si>
  <si>
    <t>~   -0.316</t>
  </si>
  <si>
    <t>~   -0.067</t>
  </si>
  <si>
    <t>~    1.556</t>
  </si>
  <si>
    <t xml:space="preserve">  884.4933</t>
  </si>
  <si>
    <t>~    0.089</t>
  </si>
  <si>
    <t>~    1.418</t>
  </si>
  <si>
    <t>~   15.823</t>
  </si>
  <si>
    <t>~    2.159</t>
  </si>
  <si>
    <t>~    0.336</t>
  </si>
  <si>
    <t>~    5.022</t>
  </si>
  <si>
    <t>~   -0.382</t>
  </si>
  <si>
    <t>~    0.024</t>
  </si>
  <si>
    <t>~    0.261</t>
  </si>
  <si>
    <t>~    1.999</t>
  </si>
  <si>
    <t xml:space="preserve">  862.4692</t>
  </si>
  <si>
    <t>~    0.205</t>
  </si>
  <si>
    <t>~    0.039</t>
  </si>
  <si>
    <t>~    0.189</t>
  </si>
  <si>
    <t>~    0.851</t>
  </si>
  <si>
    <t>~   21.820</t>
  </si>
  <si>
    <t>~    2.072</t>
  </si>
  <si>
    <t>~    0.091</t>
  </si>
  <si>
    <t>~    0.390</t>
  </si>
  <si>
    <t>~    4.687</t>
  </si>
  <si>
    <t>~    0.192</t>
  </si>
  <si>
    <t>~   -0.065</t>
  </si>
  <si>
    <t>~   -0.298</t>
  </si>
  <si>
    <t>~   -0.064</t>
  </si>
  <si>
    <t>~    0.187</t>
  </si>
  <si>
    <t>~   -0.010</t>
  </si>
  <si>
    <t>~    1.479</t>
  </si>
  <si>
    <t xml:space="preserve">  904.1188</t>
  </si>
  <si>
    <t>~    0.362</t>
  </si>
  <si>
    <t>~    0.228</t>
  </si>
  <si>
    <t>~    1.354</t>
  </si>
  <si>
    <t>~   16.375</t>
  </si>
  <si>
    <t>~    1.869</t>
  </si>
  <si>
    <t>~    0.412</t>
  </si>
  <si>
    <t>~    4.589</t>
  </si>
  <si>
    <t>~    0.243</t>
  </si>
  <si>
    <t>~   -0.215</t>
  </si>
  <si>
    <t>~   -0.260</t>
  </si>
  <si>
    <t>~   -0.187</t>
  </si>
  <si>
    <t>~    1.700</t>
  </si>
  <si>
    <t xml:space="preserve">  929.4866</t>
  </si>
  <si>
    <t>~    1.163</t>
  </si>
  <si>
    <t>~   17.968</t>
  </si>
  <si>
    <t>~    1.898</t>
  </si>
  <si>
    <t>~    0.415</t>
  </si>
  <si>
    <t>~    4.232</t>
  </si>
  <si>
    <t>~    0.075</t>
  </si>
  <si>
    <t>~    0.320</t>
  </si>
  <si>
    <t>~    0.149</t>
  </si>
  <si>
    <t>~   -0.207</t>
  </si>
  <si>
    <t>~    1.526</t>
  </si>
  <si>
    <t xml:space="preserve">  882.1673</t>
  </si>
  <si>
    <t>~    0.078</t>
  </si>
  <si>
    <t>~    0.218</t>
  </si>
  <si>
    <t>~    1.307</t>
  </si>
  <si>
    <t>~   16.641</t>
  </si>
  <si>
    <t>~    1.819</t>
  </si>
  <si>
    <t>~    0.429</t>
  </si>
  <si>
    <t>~    5.503</t>
  </si>
  <si>
    <t>~    0.409</t>
  </si>
  <si>
    <t>~    1.573</t>
  </si>
  <si>
    <t xml:space="preserve">  876.8611</t>
  </si>
  <si>
    <t>~    0.038</t>
  </si>
  <si>
    <t>~    0.173</t>
  </si>
  <si>
    <t>~    0.885</t>
  </si>
  <si>
    <t>~   23.282</t>
  </si>
  <si>
    <t>~    2.015</t>
  </si>
  <si>
    <t>~    0.410</t>
  </si>
  <si>
    <t>~    4.738</t>
  </si>
  <si>
    <t>~    0.230</t>
  </si>
  <si>
    <t>~    1.870</t>
  </si>
  <si>
    <t xml:space="preserve">  891.3259</t>
  </si>
  <si>
    <t>~    1.162</t>
  </si>
  <si>
    <t>~   15.843</t>
  </si>
  <si>
    <t>~    0.414</t>
  </si>
  <si>
    <t>~    4.411</t>
  </si>
  <si>
    <t>~    0.342</t>
  </si>
  <si>
    <t>~    0.266</t>
  </si>
  <si>
    <t>~    0.050</t>
  </si>
  <si>
    <t>~   -0.338</t>
  </si>
  <si>
    <t>~   -0.263</t>
  </si>
  <si>
    <t>~    2.005</t>
  </si>
  <si>
    <t xml:space="preserve">  894.0153</t>
  </si>
  <si>
    <t>~    1.120</t>
  </si>
  <si>
    <t>~   18.022</t>
  </si>
  <si>
    <t>~    1.400</t>
  </si>
  <si>
    <t>~    0.602</t>
  </si>
  <si>
    <t>~    3.818</t>
  </si>
  <si>
    <t>~    0.247</t>
  </si>
  <si>
    <t>~    0.239</t>
  </si>
  <si>
    <t>~   -0.179</t>
  </si>
  <si>
    <t>~    1.620</t>
  </si>
  <si>
    <t xml:space="preserve">  930.2862</t>
  </si>
  <si>
    <t>~    1.346</t>
  </si>
  <si>
    <t>~   14.684</t>
  </si>
  <si>
    <t>~    2.326</t>
  </si>
  <si>
    <t>~    0.136</t>
  </si>
  <si>
    <t>~    5.861</t>
  </si>
  <si>
    <t>~    0.079</t>
  </si>
  <si>
    <t>~    0.462</t>
  </si>
  <si>
    <t>~    0.300</t>
  </si>
  <si>
    <t>~    0.235</t>
  </si>
  <si>
    <t>~   -0.398</t>
  </si>
  <si>
    <t>~   -0.259</t>
  </si>
  <si>
    <t xml:space="preserve"> 1017.2198</t>
  </si>
  <si>
    <t>~    0.258</t>
  </si>
  <si>
    <t>~    0.608</t>
  </si>
  <si>
    <t>~   15.129</t>
  </si>
  <si>
    <t>~    1.957</t>
  </si>
  <si>
    <t>~    0.132</t>
  </si>
  <si>
    <t>~    4.184</t>
  </si>
  <si>
    <t>~    0.182</t>
  </si>
  <si>
    <t>~    0.183</t>
  </si>
  <si>
    <t>~   -0.308</t>
  </si>
  <si>
    <t>~   -0.156</t>
  </si>
  <si>
    <t>~   -0.018</t>
  </si>
  <si>
    <t>~    2.210</t>
  </si>
  <si>
    <t xml:space="preserve">  951.8015</t>
  </si>
  <si>
    <t>~    0.364</t>
  </si>
  <si>
    <t>~    1.091</t>
  </si>
  <si>
    <t>~   15.674</t>
  </si>
  <si>
    <t>~    1.496</t>
  </si>
  <si>
    <t>~    0.540</t>
  </si>
  <si>
    <t>~    4.451</t>
  </si>
  <si>
    <t>~    0.355</t>
  </si>
  <si>
    <t>~   -0.234</t>
  </si>
  <si>
    <t>~   -0.155</t>
  </si>
  <si>
    <t>~   -0.177</t>
  </si>
  <si>
    <t>~    1.559</t>
  </si>
  <si>
    <t xml:space="preserve">  914.3677</t>
  </si>
  <si>
    <t>~    0.048</t>
  </si>
  <si>
    <t>~    1.031</t>
  </si>
  <si>
    <t>~   21.138</t>
  </si>
  <si>
    <t>~    2.289</t>
  </si>
  <si>
    <t>~    5.504</t>
  </si>
  <si>
    <t>~    0.450</t>
  </si>
  <si>
    <t>~   -0.410</t>
  </si>
  <si>
    <t>~    0.116</t>
  </si>
  <si>
    <t>~    1.839</t>
  </si>
  <si>
    <t>~    0.313</t>
  </si>
  <si>
    <t>~    1.125</t>
  </si>
  <si>
    <t>~   13.986</t>
  </si>
  <si>
    <t>~    1.793</t>
  </si>
  <si>
    <t>~    4.058</t>
  </si>
  <si>
    <t>~    0.090</t>
  </si>
  <si>
    <t>~    0.367</t>
  </si>
  <si>
    <t>~    0.360</t>
  </si>
  <si>
    <t>~   -0.256</t>
  </si>
  <si>
    <t>~    1.489</t>
  </si>
  <si>
    <t xml:space="preserve">  847.6411</t>
  </si>
  <si>
    <t>~    0.036</t>
  </si>
  <si>
    <t>~    0.839</t>
  </si>
  <si>
    <t>~   23.231</t>
  </si>
  <si>
    <t>~    2.180</t>
  </si>
  <si>
    <t>~    4.854</t>
  </si>
  <si>
    <t>~    0.354</t>
  </si>
  <si>
    <t>~   -0.304</t>
  </si>
  <si>
    <t>~   -0.208</t>
  </si>
  <si>
    <t>~   -0.123</t>
  </si>
  <si>
    <t>~    1.642</t>
  </si>
  <si>
    <t xml:space="preserve">  891.1805</t>
  </si>
  <si>
    <t>~    0.071</t>
  </si>
  <si>
    <t>~    1.208</t>
  </si>
  <si>
    <t>~   16.825</t>
  </si>
  <si>
    <t>~    1.878</t>
  </si>
  <si>
    <t>~    4.921</t>
  </si>
  <si>
    <t>~    0.363</t>
  </si>
  <si>
    <t>~   -0.189</t>
  </si>
  <si>
    <t>~   -0.135</t>
  </si>
  <si>
    <t>~   -0.222</t>
  </si>
  <si>
    <t>~    2.671</t>
  </si>
  <si>
    <t xml:space="preserve">  908.5527</t>
  </si>
  <si>
    <t>~    0.030</t>
  </si>
  <si>
    <t>~    0.616</t>
  </si>
  <si>
    <t>~   20.075</t>
  </si>
  <si>
    <t>~    1.367</t>
  </si>
  <si>
    <t>~    0.631</t>
  </si>
  <si>
    <t>~   -0.261</t>
  </si>
  <si>
    <t>~   -0.157</t>
  </si>
  <si>
    <t>~   -0.127</t>
  </si>
  <si>
    <t>~    1.349</t>
  </si>
  <si>
    <t xml:space="preserve">  880.8589</t>
  </si>
  <si>
    <t>~    0.232</t>
  </si>
  <si>
    <t>~    1.315</t>
  </si>
  <si>
    <t>~   17.200</t>
  </si>
  <si>
    <t>~    6.095</t>
  </si>
  <si>
    <t>~    0.068</t>
  </si>
  <si>
    <t>~    0.274</t>
  </si>
  <si>
    <t>~    0.386</t>
  </si>
  <si>
    <t>~   -0.101</t>
  </si>
  <si>
    <t>~    2.740</t>
  </si>
  <si>
    <t xml:space="preserve">  930.1408</t>
  </si>
  <si>
    <t>~    0.174</t>
  </si>
  <si>
    <t>~    0.629</t>
  </si>
  <si>
    <t>~   15.155</t>
  </si>
  <si>
    <t>~    1.320</t>
  </si>
  <si>
    <t>~    0.625</t>
  </si>
  <si>
    <t>~    4.410</t>
  </si>
  <si>
    <t>~    0.366</t>
  </si>
  <si>
    <t>~    0.326</t>
  </si>
  <si>
    <t>~    0.167</t>
  </si>
  <si>
    <t>~   -0.192</t>
  </si>
  <si>
    <t>~    1.758</t>
  </si>
  <si>
    <t xml:space="preserve">  862.9780</t>
  </si>
  <si>
    <t>~    0.298</t>
  </si>
  <si>
    <t>~    0.043</t>
  </si>
  <si>
    <t>~    0.144</t>
  </si>
  <si>
    <t>~    0.997</t>
  </si>
  <si>
    <t>~   23.157</t>
  </si>
  <si>
    <t>~    1.671</t>
  </si>
  <si>
    <t>~    3.285</t>
  </si>
  <si>
    <t>~    0.377</t>
  </si>
  <si>
    <t>~   -0.216</t>
  </si>
  <si>
    <t xml:space="preserve">  869.7379</t>
  </si>
  <si>
    <t>~    0.280</t>
  </si>
  <si>
    <t>~    0.964</t>
  </si>
  <si>
    <t>~   23.329</t>
  </si>
  <si>
    <t>~    3.265</t>
  </si>
  <si>
    <t>~    5.865</t>
  </si>
  <si>
    <t>~    0.057</t>
  </si>
  <si>
    <t>~   -0.122</t>
  </si>
  <si>
    <t>~    1.994</t>
  </si>
  <si>
    <t xml:space="preserve">  952.2376</t>
  </si>
  <si>
    <t>~    0.277</t>
  </si>
  <si>
    <t>~    1.312</t>
  </si>
  <si>
    <t>~   12.981</t>
  </si>
  <si>
    <t>~    1.799</t>
  </si>
  <si>
    <t>~    0.401</t>
  </si>
  <si>
    <t>~    3.727</t>
  </si>
  <si>
    <t>~   -0.359</t>
  </si>
  <si>
    <t>~    2.232</t>
  </si>
  <si>
    <t xml:space="preserve">  862.9053</t>
  </si>
  <si>
    <t>~    0.045</t>
  </si>
  <si>
    <t>~    0.188</t>
  </si>
  <si>
    <t>~    0.994</t>
  </si>
  <si>
    <t>~   21.656</t>
  </si>
  <si>
    <t>~    2.043</t>
  </si>
  <si>
    <t>~    0.092</t>
  </si>
  <si>
    <t>~    0.397</t>
  </si>
  <si>
    <t>~    4.680</t>
  </si>
  <si>
    <t>~   -0.274</t>
  </si>
  <si>
    <t>~    1.352</t>
  </si>
  <si>
    <t xml:space="preserve">  881.5859</t>
  </si>
  <si>
    <t>~    0.199</t>
  </si>
  <si>
    <t>~    1.295</t>
  </si>
  <si>
    <t>~   16.361</t>
  </si>
  <si>
    <t>~    1.629</t>
  </si>
  <si>
    <t>~    0.491</t>
  </si>
  <si>
    <t>~    4.588</t>
  </si>
  <si>
    <t>~   -0.174</t>
  </si>
  <si>
    <t>~   -0.297</t>
  </si>
  <si>
    <t>~   -0.226</t>
  </si>
  <si>
    <t>~    2.976</t>
  </si>
  <si>
    <t xml:space="preserve">  937.2641</t>
  </si>
  <si>
    <t>~    0.621</t>
  </si>
  <si>
    <t>~   15.377</t>
  </si>
  <si>
    <t>~    1.326</t>
  </si>
  <si>
    <t>~    0.623</t>
  </si>
  <si>
    <t>~    3.526</t>
  </si>
  <si>
    <t>~    0.348</t>
  </si>
  <si>
    <t>~   -0.105</t>
  </si>
  <si>
    <t>~   -0.332</t>
  </si>
  <si>
    <t>~   -0.060</t>
  </si>
  <si>
    <t>~    1.766</t>
  </si>
  <si>
    <t xml:space="preserve">  839.2093</t>
  </si>
  <si>
    <t>~    0.201</t>
  </si>
  <si>
    <t>~    0.909</t>
  </si>
  <si>
    <t>~   23.845</t>
  </si>
  <si>
    <t>~    2.260</t>
  </si>
  <si>
    <t>~    4.395</t>
  </si>
  <si>
    <t>~   -0.203</t>
  </si>
  <si>
    <t>~    1.191</t>
  </si>
  <si>
    <t xml:space="preserve">  821.4010</t>
  </si>
  <si>
    <t>~    1.037</t>
  </si>
  <si>
    <t>~   23.363</t>
  </si>
  <si>
    <t>~    2.821</t>
  </si>
  <si>
    <t>~    5.077</t>
  </si>
  <si>
    <t>~   -0.030</t>
  </si>
  <si>
    <t>~   -0.242</t>
  </si>
  <si>
    <t>~   -0.022</t>
  </si>
  <si>
    <t xml:space="preserve">  928.5417</t>
  </si>
  <si>
    <t>~    0.194</t>
  </si>
  <si>
    <t>~    1.059</t>
  </si>
  <si>
    <t>~   16.799</t>
  </si>
  <si>
    <t>~    1.634</t>
  </si>
  <si>
    <t>~    0.119</t>
  </si>
  <si>
    <t>~    0.492</t>
  </si>
  <si>
    <t>~    3.715</t>
  </si>
  <si>
    <t>~    0.303</t>
  </si>
  <si>
    <t>~   -0.290</t>
  </si>
  <si>
    <t>~    0.196</t>
  </si>
  <si>
    <t>~    0.059</t>
  </si>
  <si>
    <t>~    1.361</t>
  </si>
  <si>
    <t xml:space="preserve">  845.1696</t>
  </si>
  <si>
    <t>~    0.168</t>
  </si>
  <si>
    <t>~    0.951</t>
  </si>
  <si>
    <t>~   24.923</t>
  </si>
  <si>
    <t>~    2.818</t>
  </si>
  <si>
    <t>~    4.777</t>
  </si>
  <si>
    <t>~    0.318</t>
  </si>
  <si>
    <t>~   -0.262</t>
  </si>
  <si>
    <t>~    2.051</t>
  </si>
  <si>
    <t xml:space="preserve">  935.5923</t>
  </si>
  <si>
    <t>~    1.004</t>
  </si>
  <si>
    <t>~   19.073</t>
  </si>
  <si>
    <t>~    2.246</t>
  </si>
  <si>
    <t>~    0.104</t>
  </si>
  <si>
    <t>~    4.425</t>
  </si>
  <si>
    <t>~   -0.195</t>
  </si>
  <si>
    <t>~   -0.130</t>
  </si>
  <si>
    <t>~    2.392</t>
  </si>
  <si>
    <t xml:space="preserve">  912.8412</t>
  </si>
  <si>
    <t>~    0.667</t>
  </si>
  <si>
    <t>~   15.075</t>
  </si>
  <si>
    <t>~    1.851</t>
  </si>
  <si>
    <t>~    0.407</t>
  </si>
  <si>
    <t>~    3.997</t>
  </si>
  <si>
    <t>~    0.353</t>
  </si>
  <si>
    <t>~   -0.021</t>
  </si>
  <si>
    <t>~    1.433</t>
  </si>
  <si>
    <t xml:space="preserve">  890.3809</t>
  </si>
  <si>
    <t>~    0.585</t>
  </si>
  <si>
    <t>~   23.702</t>
  </si>
  <si>
    <t>~    3.610</t>
  </si>
  <si>
    <t>~    5.127</t>
  </si>
  <si>
    <t>~    0.170</t>
  </si>
  <si>
    <t>~    2.140</t>
  </si>
  <si>
    <t xml:space="preserve">  915.7487</t>
  </si>
  <si>
    <t>~    0.047</t>
  </si>
  <si>
    <t>~    0.689</t>
  </si>
  <si>
    <t>~   14.660</t>
  </si>
  <si>
    <t>~    2.166</t>
  </si>
  <si>
    <t>~    3.636</t>
  </si>
  <si>
    <t>~    0.333</t>
  </si>
  <si>
    <t>~   -0.090</t>
  </si>
  <si>
    <t>~   -0.329</t>
  </si>
  <si>
    <t>~   -0.053</t>
  </si>
  <si>
    <t>~   -0.032</t>
  </si>
  <si>
    <t>~    1.574</t>
  </si>
  <si>
    <t>~    1.543</t>
  </si>
  <si>
    <t>~   16.000</t>
  </si>
  <si>
    <t>~    1.652</t>
  </si>
  <si>
    <t>~    0.480</t>
  </si>
  <si>
    <t>~    3.355</t>
  </si>
  <si>
    <t>~    0.299</t>
  </si>
  <si>
    <t>~    1.706</t>
  </si>
  <si>
    <t xml:space="preserve"> 1100.5190</t>
  </si>
  <si>
    <t>~    0.830</t>
  </si>
  <si>
    <t>~    2.613</t>
  </si>
  <si>
    <t>~    9.756</t>
  </si>
  <si>
    <t>~    0.430</t>
  </si>
  <si>
    <t>~    3.289</t>
  </si>
  <si>
    <t>~    0.142</t>
  </si>
  <si>
    <t>~    0.468</t>
  </si>
  <si>
    <t>~   -0.467</t>
  </si>
  <si>
    <t>~    2.082</t>
  </si>
  <si>
    <t xml:space="preserve">  991.4886</t>
  </si>
  <si>
    <t>~    1.217</t>
  </si>
  <si>
    <t>~   15.059</t>
  </si>
  <si>
    <t>~    1.828</t>
  </si>
  <si>
    <t>~    3.991</t>
  </si>
  <si>
    <t>~    0.388</t>
  </si>
  <si>
    <t>~    2.048</t>
  </si>
  <si>
    <t xml:space="preserve"> 1058.1426</t>
  </si>
  <si>
    <t>~    0.578</t>
  </si>
  <si>
    <t>~    0.160</t>
  </si>
  <si>
    <t>~    2.060</t>
  </si>
  <si>
    <t>~   12.841</t>
  </si>
  <si>
    <t>~    1.780</t>
  </si>
  <si>
    <t>~    0.405</t>
  </si>
  <si>
    <t>~    4.388</t>
  </si>
  <si>
    <t>~    0.103</t>
  </si>
  <si>
    <t>~    0.456</t>
  </si>
  <si>
    <t>~   -0.413</t>
  </si>
  <si>
    <t>~   -0.319</t>
  </si>
  <si>
    <t>~    1.687</t>
  </si>
  <si>
    <t>~    1.108</t>
  </si>
  <si>
    <t>~   16.488</t>
  </si>
  <si>
    <t>~    2.476</t>
  </si>
  <si>
    <t>~    4.132</t>
  </si>
  <si>
    <t>~    0.345</t>
  </si>
  <si>
    <t>~   -0.074</t>
  </si>
  <si>
    <t>~    2.040</t>
  </si>
  <si>
    <t xml:space="preserve"> 1011.5502</t>
  </si>
  <si>
    <t>~    1.384</t>
  </si>
  <si>
    <t>~   12.086</t>
  </si>
  <si>
    <t>~    2.024</t>
  </si>
  <si>
    <t>~    0.165</t>
  </si>
  <si>
    <t>~    3.409</t>
  </si>
  <si>
    <t>~    0.422</t>
  </si>
  <si>
    <t>~    0.308</t>
  </si>
  <si>
    <t>~   -0.289</t>
  </si>
  <si>
    <t>~    2.514</t>
  </si>
  <si>
    <t xml:space="preserve"> 1075.6602</t>
  </si>
  <si>
    <t>~    0.677</t>
  </si>
  <si>
    <t>~    2.208</t>
  </si>
  <si>
    <t>~   12.799</t>
  </si>
  <si>
    <t>~    0.457</t>
  </si>
  <si>
    <t>~    3.462</t>
  </si>
  <si>
    <t>~   -0.268</t>
  </si>
  <si>
    <t>~    1.379</t>
  </si>
  <si>
    <t xml:space="preserve">  910.5153</t>
  </si>
  <si>
    <t>~    0.537</t>
  </si>
  <si>
    <t>~    1.874</t>
  </si>
  <si>
    <t>~   14.365</t>
  </si>
  <si>
    <t>~    1.742</t>
  </si>
  <si>
    <t>~    0.434</t>
  </si>
  <si>
    <t>~    0.347</t>
  </si>
  <si>
    <t>~   -0.285</t>
  </si>
  <si>
    <t>~   -0.066</t>
  </si>
  <si>
    <t>~    1.247</t>
  </si>
  <si>
    <t xml:space="preserve">  892.2708</t>
  </si>
  <si>
    <t>~    0.175</t>
  </si>
  <si>
    <t>~    0.246</t>
  </si>
  <si>
    <t>~    0.724</t>
  </si>
  <si>
    <t>~   16.759</t>
  </si>
  <si>
    <t>~    2.065</t>
  </si>
  <si>
    <t>~    3.252</t>
  </si>
  <si>
    <t>~    2.747</t>
  </si>
  <si>
    <t xml:space="preserve">  994.8322</t>
  </si>
  <si>
    <t>~    0.476</t>
  </si>
  <si>
    <t>~    0.161</t>
  </si>
  <si>
    <t>~    1.018</t>
  </si>
  <si>
    <t>~   13.188</t>
  </si>
  <si>
    <t>~    1.067</t>
  </si>
  <si>
    <t>~    0.784</t>
  </si>
  <si>
    <t>~    3.073</t>
  </si>
  <si>
    <t>~   -0.056</t>
  </si>
  <si>
    <t>~   -0.237</t>
  </si>
  <si>
    <t>~    1.461</t>
  </si>
  <si>
    <t>~   18.086</t>
  </si>
  <si>
    <t>~    2.088</t>
  </si>
  <si>
    <t>~    4.417</t>
  </si>
  <si>
    <t>~   -0.309</t>
  </si>
  <si>
    <t>~   -0.011</t>
  </si>
  <si>
    <t>~    1.805</t>
  </si>
  <si>
    <t xml:space="preserve">  988.0723</t>
  </si>
  <si>
    <t>~   15.293</t>
  </si>
  <si>
    <t>~    2.218</t>
  </si>
  <si>
    <t>~    4.639</t>
  </si>
  <si>
    <t>~    0.423</t>
  </si>
  <si>
    <t>~   -0.421</t>
  </si>
  <si>
    <t>~   -0.292</t>
  </si>
  <si>
    <t>~    2.293</t>
  </si>
  <si>
    <t xml:space="preserve">  996.7221</t>
  </si>
  <si>
    <t>~    0.227</t>
  </si>
  <si>
    <t>~    0.774</t>
  </si>
  <si>
    <t>~   13.048</t>
  </si>
  <si>
    <t>~    3.084</t>
  </si>
  <si>
    <t>~   -0.016</t>
  </si>
  <si>
    <t>~   -0.364</t>
  </si>
  <si>
    <t>~   -0.045</t>
  </si>
  <si>
    <t>~    0.032</t>
  </si>
  <si>
    <t>~    0.164</t>
  </si>
  <si>
    <t>~    1.188</t>
  </si>
  <si>
    <t>~   16.491</t>
  </si>
  <si>
    <t>~    1.358</t>
  </si>
  <si>
    <t>~    0.614</t>
  </si>
  <si>
    <t>~    4.071</t>
  </si>
  <si>
    <t>~    0.361</t>
  </si>
  <si>
    <t>~   -0.344</t>
  </si>
  <si>
    <t>~   -0.076</t>
  </si>
  <si>
    <t>~    2.001</t>
  </si>
  <si>
    <t xml:space="preserve"> 1030.0853</t>
  </si>
  <si>
    <t>~    1.203</t>
  </si>
  <si>
    <t>~   14.726</t>
  </si>
  <si>
    <t>~    1.643</t>
  </si>
  <si>
    <t>~    3.378</t>
  </si>
  <si>
    <t>~    0.106</t>
  </si>
  <si>
    <t>~    0.248</t>
  </si>
  <si>
    <t>~   -0.232</t>
  </si>
  <si>
    <t xml:space="preserve">  883.9118</t>
  </si>
  <si>
    <t>~    0.763</t>
  </si>
  <si>
    <t>~    2.106</t>
  </si>
  <si>
    <t>~   15.010</t>
  </si>
  <si>
    <t>~    2.633</t>
  </si>
  <si>
    <t>~   -0.096</t>
  </si>
  <si>
    <t>~   -0.257</t>
  </si>
  <si>
    <t>~   -0.250</t>
  </si>
  <si>
    <t>~    1.837</t>
  </si>
  <si>
    <t xml:space="preserve"> 1041.5699</t>
  </si>
  <si>
    <t>~    0.622</t>
  </si>
  <si>
    <t>~    2.237</t>
  </si>
  <si>
    <t>~   13.533</t>
  </si>
  <si>
    <t>~    1.796</t>
  </si>
  <si>
    <t>~    3.817</t>
  </si>
  <si>
    <t>~   -0.020</t>
  </si>
  <si>
    <t>~    2.306</t>
  </si>
  <si>
    <t xml:space="preserve">  999.6296</t>
  </si>
  <si>
    <t>~    1.289</t>
  </si>
  <si>
    <t>~   13.957</t>
  </si>
  <si>
    <t>~    1.659</t>
  </si>
  <si>
    <t>~    0.459</t>
  </si>
  <si>
    <t>~    3.308</t>
  </si>
  <si>
    <t>~   -0.258</t>
  </si>
  <si>
    <t>~    2.471</t>
  </si>
  <si>
    <t xml:space="preserve">  998.2485</t>
  </si>
  <si>
    <t>~    1.306</t>
  </si>
  <si>
    <t>~   13.924</t>
  </si>
  <si>
    <t>~    1.519</t>
  </si>
  <si>
    <t>~    0.514</t>
  </si>
  <si>
    <t>~    3.518</t>
  </si>
  <si>
    <t>~   -0.313</t>
  </si>
  <si>
    <t>~   -0.104</t>
  </si>
  <si>
    <t>~    2.308</t>
  </si>
  <si>
    <t xml:space="preserve"> 1049.0566</t>
  </si>
  <si>
    <t>~    0.675</t>
  </si>
  <si>
    <t>~    2.061</t>
  </si>
  <si>
    <t>~   11.978</t>
  </si>
  <si>
    <t>~    0.488</t>
  </si>
  <si>
    <t>~    3.674</t>
  </si>
  <si>
    <t>~    0.400</t>
  </si>
  <si>
    <t>~   -0.188</t>
  </si>
  <si>
    <t>~   -0.134</t>
  </si>
  <si>
    <t>~    1.497</t>
  </si>
  <si>
    <t xml:space="preserve">  924.9073</t>
  </si>
  <si>
    <t>~    0.309</t>
  </si>
  <si>
    <t>~    1.359</t>
  </si>
  <si>
    <t>~    2.452</t>
  </si>
  <si>
    <t>~    5.717</t>
  </si>
  <si>
    <t>~    0.449</t>
  </si>
  <si>
    <t>~    0.297</t>
  </si>
  <si>
    <t>~    0.445</t>
  </si>
  <si>
    <t>~   -0.037</t>
  </si>
  <si>
    <t>~    2.681</t>
  </si>
  <si>
    <t xml:space="preserve">  990.9798</t>
  </si>
  <si>
    <t>~    0.769</t>
  </si>
  <si>
    <t>~   14.151</t>
  </si>
  <si>
    <t>~    1.628</t>
  </si>
  <si>
    <t>~    2.822</t>
  </si>
  <si>
    <t>~    0.200</t>
  </si>
  <si>
    <t>~   -0.193</t>
  </si>
  <si>
    <t>~   -0.049</t>
  </si>
  <si>
    <t>~    2.150</t>
  </si>
  <si>
    <t xml:space="preserve">  944.9689</t>
  </si>
  <si>
    <t>~    0.464</t>
  </si>
  <si>
    <t>~    1.548</t>
  </si>
  <si>
    <t>~   14.097</t>
  </si>
  <si>
    <t>~    1.667</t>
  </si>
  <si>
    <t>~    3.740</t>
  </si>
  <si>
    <t>~   -0.124</t>
  </si>
  <si>
    <t>~    2.226</t>
  </si>
  <si>
    <t xml:space="preserve">  992.2155</t>
  </si>
  <si>
    <t>~    1.436</t>
  </si>
  <si>
    <t>~   13.732</t>
  </si>
  <si>
    <t>~    0.451</t>
  </si>
  <si>
    <t>~    4.027</t>
  </si>
  <si>
    <t>~    0.402</t>
  </si>
  <si>
    <t>~   -0.400</t>
  </si>
  <si>
    <t>~   -0.321</t>
  </si>
  <si>
    <t xml:space="preserve">  932.1033</t>
  </si>
  <si>
    <t>~    1.254</t>
  </si>
  <si>
    <t>~   15.964</t>
  </si>
  <si>
    <t>~    1.451</t>
  </si>
  <si>
    <t>~    0.563</t>
  </si>
  <si>
    <t>~    3.363</t>
  </si>
  <si>
    <t>~    0.311</t>
  </si>
  <si>
    <t>~   -0.248</t>
  </si>
  <si>
    <t>~   -0.150</t>
  </si>
  <si>
    <t>~   -0.012</t>
  </si>
  <si>
    <t>~    1.866</t>
  </si>
  <si>
    <t xml:space="preserve">  958.9975</t>
  </si>
  <si>
    <t>~    1.271</t>
  </si>
  <si>
    <t>~   16.144</t>
  </si>
  <si>
    <t>~    1.790</t>
  </si>
  <si>
    <t>~    3.767</t>
  </si>
  <si>
    <t>~    0.276</t>
  </si>
  <si>
    <t>~   -0.200</t>
  </si>
  <si>
    <t>~    0.190</t>
  </si>
  <si>
    <t>~    2.558</t>
  </si>
  <si>
    <t xml:space="preserve">  890.8171</t>
  </si>
  <si>
    <t>~    0.020</t>
  </si>
  <si>
    <t>~    0.551</t>
  </si>
  <si>
    <t>~   27.068</t>
  </si>
  <si>
    <t>~    2.113</t>
  </si>
  <si>
    <t>~    5.041</t>
  </si>
  <si>
    <t>~    0.467</t>
  </si>
  <si>
    <t>~   -0.455</t>
  </si>
  <si>
    <t>~   -0.264</t>
  </si>
  <si>
    <t>~    1.781</t>
  </si>
  <si>
    <t xml:space="preserve">  976.0789</t>
  </si>
  <si>
    <t>~    0.112</t>
  </si>
  <si>
    <t>~    0.229</t>
  </si>
  <si>
    <t>~    1.588</t>
  </si>
  <si>
    <t>~   14.164</t>
  </si>
  <si>
    <t>~    1.627</t>
  </si>
  <si>
    <t>~    0.473</t>
  </si>
  <si>
    <t>~    4.474</t>
  </si>
  <si>
    <t>~    0.444</t>
  </si>
  <si>
    <t>~    0.443</t>
  </si>
  <si>
    <t>~    2.436</t>
  </si>
  <si>
    <t xml:space="preserve">  976.2971</t>
  </si>
  <si>
    <t>~    0.717</t>
  </si>
  <si>
    <t>~   13.488</t>
  </si>
  <si>
    <t>~    1.570</t>
  </si>
  <si>
    <t>~    3.063</t>
  </si>
  <si>
    <t>~    2.539</t>
  </si>
  <si>
    <t xml:space="preserve"> 1006.3167</t>
  </si>
  <si>
    <t>~    0.569</t>
  </si>
  <si>
    <t>~    1.275</t>
  </si>
  <si>
    <t>~   13.648</t>
  </si>
  <si>
    <t>~    1.119</t>
  </si>
  <si>
    <t>~    0.746</t>
  </si>
  <si>
    <t>~    3.187</t>
  </si>
  <si>
    <t>~   -0.328</t>
  </si>
  <si>
    <t>~    1.975</t>
  </si>
  <si>
    <t>~    1.128</t>
  </si>
  <si>
    <t>~   17.157</t>
  </si>
  <si>
    <t>~    1.458</t>
  </si>
  <si>
    <t>~    3.679</t>
  </si>
  <si>
    <t>~    0.204</t>
  </si>
  <si>
    <t>~    1.934</t>
  </si>
  <si>
    <t xml:space="preserve"> 1005.5899</t>
  </si>
  <si>
    <t>~    1.239</t>
  </si>
  <si>
    <t>~   15.526</t>
  </si>
  <si>
    <t>~    0.481</t>
  </si>
  <si>
    <t>~    3.909</t>
  </si>
  <si>
    <t>~    1.660</t>
  </si>
  <si>
    <t xml:space="preserve">  960.4512</t>
  </si>
  <si>
    <t>~    1.200</t>
  </si>
  <si>
    <t>~   16.267</t>
  </si>
  <si>
    <t>~    1.952</t>
  </si>
  <si>
    <t>~    0.389</t>
  </si>
  <si>
    <t>~    4.974</t>
  </si>
  <si>
    <t>~   -0.113</t>
  </si>
  <si>
    <t>~   -0.079</t>
  </si>
  <si>
    <t>~    1.113</t>
  </si>
  <si>
    <t xml:space="preserve">  972.3719</t>
  </si>
  <si>
    <t>~    0.269</t>
  </si>
  <si>
    <t>~    1.288</t>
  </si>
  <si>
    <t>~   17.235</t>
  </si>
  <si>
    <t>~    2.393</t>
  </si>
  <si>
    <t>~    0.301</t>
  </si>
  <si>
    <t>~    4.684</t>
  </si>
  <si>
    <t>~   -0.244</t>
  </si>
  <si>
    <t>~    2.114</t>
  </si>
  <si>
    <t>~   12.572</t>
  </si>
  <si>
    <t>~    1.676</t>
  </si>
  <si>
    <t>~    4.082</t>
  </si>
  <si>
    <t>~    0.252</t>
  </si>
  <si>
    <t>~    1.633</t>
  </si>
  <si>
    <t xml:space="preserve">  979.7859</t>
  </si>
  <si>
    <t>~    1.190</t>
  </si>
  <si>
    <t>~   13.771</t>
  </si>
  <si>
    <t>~    2.497</t>
  </si>
  <si>
    <t>~    4.730</t>
  </si>
  <si>
    <t>~    0.436</t>
  </si>
  <si>
    <t>~   -0.279</t>
  </si>
  <si>
    <t xml:space="preserve">  959.2883</t>
  </si>
  <si>
    <t>~    1.421</t>
  </si>
  <si>
    <t>~   15.237</t>
  </si>
  <si>
    <t>~    1.992</t>
  </si>
  <si>
    <t>~    0.370</t>
  </si>
  <si>
    <t>~    5.622</t>
  </si>
  <si>
    <t>~   -0.055</t>
  </si>
  <si>
    <t>~    1.769</t>
  </si>
  <si>
    <t xml:space="preserve">  914.4404</t>
  </si>
  <si>
    <t>~    0.251</t>
  </si>
  <si>
    <t>~    1.376</t>
  </si>
  <si>
    <t>~   14.890</t>
  </si>
  <si>
    <t>~    1.871</t>
  </si>
  <si>
    <t>~    4.147</t>
  </si>
  <si>
    <t>~    0.382</t>
  </si>
  <si>
    <t>~   -0.252</t>
  </si>
  <si>
    <t>~    2.147</t>
  </si>
  <si>
    <t xml:space="preserve">  993.8873</t>
  </si>
  <si>
    <t>~   12.846</t>
  </si>
  <si>
    <t>~    1.764</t>
  </si>
  <si>
    <t>~    4.179</t>
  </si>
  <si>
    <t>~    2.468</t>
  </si>
  <si>
    <t xml:space="preserve">  955.6539</t>
  </si>
  <si>
    <t>~    0.901</t>
  </si>
  <si>
    <t>~   13.436</t>
  </si>
  <si>
    <t>~    1.472</t>
  </si>
  <si>
    <t>~    0.530</t>
  </si>
  <si>
    <t>~    3.200</t>
  </si>
  <si>
    <t>~    2.056</t>
  </si>
  <si>
    <t xml:space="preserve">  974.4798</t>
  </si>
  <si>
    <t>~    0.916</t>
  </si>
  <si>
    <t>~   18.394</t>
  </si>
  <si>
    <t>~    1.443</t>
  </si>
  <si>
    <t>~    0.584</t>
  </si>
  <si>
    <t>~    4.479</t>
  </si>
  <si>
    <t>~    0.117</t>
  </si>
  <si>
    <t>~    0.171</t>
  </si>
  <si>
    <t>~    2.299</t>
  </si>
  <si>
    <t xml:space="preserve">  975.1340</t>
  </si>
  <si>
    <t>~    0.694</t>
  </si>
  <si>
    <t>~   14.538</t>
  </si>
  <si>
    <t>~    1.907</t>
  </si>
  <si>
    <t>~    3.394</t>
  </si>
  <si>
    <t>~    2.439</t>
  </si>
  <si>
    <t xml:space="preserve">  999.2662</t>
  </si>
  <si>
    <t>~    0.668</t>
  </si>
  <si>
    <t>~   13.439</t>
  </si>
  <si>
    <t>~    1.757</t>
  </si>
  <si>
    <t>~    0.420</t>
  </si>
  <si>
    <t>~    2.879</t>
  </si>
  <si>
    <t>~   -0.047</t>
  </si>
  <si>
    <t>~    2.672</t>
  </si>
  <si>
    <t xml:space="preserve">  985.0195</t>
  </si>
  <si>
    <t>~    0.742</t>
  </si>
  <si>
    <t>~   13.358</t>
  </si>
  <si>
    <t>~    1.832</t>
  </si>
  <si>
    <t>~    3.248</t>
  </si>
  <si>
    <t>~    0.338</t>
  </si>
  <si>
    <t>~    2.324</t>
  </si>
  <si>
    <t xml:space="preserve">  961.8323</t>
  </si>
  <si>
    <t>~    0.925</t>
  </si>
  <si>
    <t>~   17.035</t>
  </si>
  <si>
    <t>~    1.707</t>
  </si>
  <si>
    <t>~    4.729</t>
  </si>
  <si>
    <t>~    0.380</t>
  </si>
  <si>
    <t>~    2.748</t>
  </si>
  <si>
    <t xml:space="preserve">  917.8566</t>
  </si>
  <si>
    <t>~    0.818</t>
  </si>
  <si>
    <t>~   19.695</t>
  </si>
  <si>
    <t>~    1.531</t>
  </si>
  <si>
    <t>~    3.609</t>
  </si>
  <si>
    <t>~   -0.078</t>
  </si>
  <si>
    <t>~    2.491</t>
  </si>
  <si>
    <t xml:space="preserve">  981.7486</t>
  </si>
  <si>
    <t>~    1.399</t>
  </si>
  <si>
    <t>~   13.177</t>
  </si>
  <si>
    <t>~    0.501</t>
  </si>
  <si>
    <t>~    2.985</t>
  </si>
  <si>
    <t>~    1.814</t>
  </si>
  <si>
    <t xml:space="preserve">  861.7422</t>
  </si>
  <si>
    <t>~    0.197</t>
  </si>
  <si>
    <t>~    0.214</t>
  </si>
  <si>
    <t>~    0.869</t>
  </si>
  <si>
    <t>~   20.555</t>
  </si>
  <si>
    <t>~    2.206</t>
  </si>
  <si>
    <t>~    4.106</t>
  </si>
  <si>
    <t>~   -0.082</t>
  </si>
  <si>
    <t>Medial Subchondral Plate</t>
  </si>
  <si>
    <t>Lateral Subchondral Plate</t>
  </si>
  <si>
    <t>Plate Thickness (mm)- distance between tibia articular surface and first presence of subchondral trabecular bone</t>
  </si>
  <si>
    <t>Total Bone from Articular Surface to Growth Plate</t>
  </si>
  <si>
    <t>Maximum Height between growth plate and tibia articular surface (mm)</t>
  </si>
  <si>
    <r>
      <t>TRI-TV (mm</t>
    </r>
    <r>
      <rPr>
        <vertAlign val="superscript"/>
        <sz val="11"/>
        <color rgb="FFFF0000"/>
        <rFont val="Calibri"/>
        <family val="2"/>
        <scheme val="minor"/>
      </rPr>
      <t>3</t>
    </r>
    <r>
      <rPr>
        <sz val="11"/>
        <color rgb="FFFF0000"/>
        <rFont val="Calibri"/>
        <family val="2"/>
        <scheme val="minor"/>
      </rPr>
      <t>)</t>
    </r>
  </si>
  <si>
    <r>
      <t>VOX-TV(mm</t>
    </r>
    <r>
      <rPr>
        <vertAlign val="superscript"/>
        <sz val="11"/>
        <color rgb="FFFF0000"/>
        <rFont val="Calibri"/>
        <family val="2"/>
        <scheme val="minor"/>
      </rPr>
      <t>3</t>
    </r>
    <r>
      <rPr>
        <sz val="11"/>
        <color rgb="FFFF0000"/>
        <rFont val="Calibri"/>
        <family val="2"/>
        <scheme val="minor"/>
      </rPr>
      <t>)</t>
    </r>
  </si>
  <si>
    <t>p</t>
  </si>
  <si>
    <t>number conversion</t>
  </si>
  <si>
    <t>cortical thickness</t>
  </si>
  <si>
    <t>p vs young</t>
  </si>
  <si>
    <t>average</t>
  </si>
  <si>
    <t>p y vs O</t>
  </si>
  <si>
    <t>GP cartilage</t>
  </si>
  <si>
    <t>p vs NJ</t>
  </si>
  <si>
    <t>p vs 4w WT</t>
  </si>
  <si>
    <t>p vs NJ ko</t>
  </si>
  <si>
    <t>p vs 4w ko</t>
  </si>
  <si>
    <t>p vs 4w</t>
  </si>
  <si>
    <t>F</t>
  </si>
  <si>
    <t>M</t>
  </si>
  <si>
    <t>Sex</t>
  </si>
  <si>
    <t>Age months</t>
  </si>
  <si>
    <t>MMS</t>
  </si>
  <si>
    <t>Age Months</t>
  </si>
  <si>
    <t>NJ</t>
  </si>
  <si>
    <t>4 week</t>
  </si>
  <si>
    <t>8 week</t>
  </si>
  <si>
    <t>Genotype</t>
  </si>
  <si>
    <t>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</si>
</sst>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\ h:mm;@"/>
    <numFmt numFmtId="165" formatCode="0.000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perscript"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Fill="1"/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164" fontId="0" fillId="0" borderId="0" xfId="0" applyNumberFormat="1" applyFill="1"/>
    <xf numFmtId="0" fontId="6" fillId="0" borderId="0" xfId="0" applyFont="1" applyFill="1"/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165" fontId="6" fillId="0" borderId="0" xfId="0" applyNumberFormat="1" applyFont="1" applyFill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22" fontId="0" fillId="0" borderId="0" xfId="0" applyNumberFormat="1" applyFill="1"/>
    <xf numFmtId="0" fontId="4" fillId="0" borderId="0" xfId="0" applyFont="1" applyFill="1" applyAlignment="1">
      <alignment horizontal="center"/>
    </xf>
    <xf numFmtId="0" fontId="0" fillId="0" borderId="0" xfId="0" applyFill="1" applyAlignment="1">
      <alignment horizontal="center" wrapText="1"/>
    </xf>
    <xf numFmtId="0" fontId="4" fillId="0" borderId="0" xfId="0" applyFont="1" applyFill="1"/>
    <xf numFmtId="166" fontId="0" fillId="0" borderId="0" xfId="0" applyNumberFormat="1" applyFill="1"/>
    <xf numFmtId="2" fontId="0" fillId="0" borderId="0" xfId="0" applyNumberFormat="1" applyFill="1"/>
    <xf numFmtId="0" fontId="0" fillId="2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0012831_3DRESULTS_BONE_MORPHO" connectionId="1" xr16:uid="{00000000-0016-0000-04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0015481_MOIRESULTS_MIDSHAFT" connectionId="2" xr16:uid="{00000000-0016-0000-0500-000001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66"/>
  <sheetViews>
    <sheetView topLeftCell="A28" zoomScale="200" workbookViewId="0">
      <selection sqref="A1:XFD1048576"/>
    </sheetView>
  </sheetViews>
  <sheetFormatPr baseColWidth="10" defaultColWidth="8.83203125" defaultRowHeight="15" x14ac:dyDescent="0.2"/>
  <cols>
    <col min="1" max="3" width="16.1640625" style="3" customWidth="1"/>
    <col min="4" max="4" width="16.1640625" style="5" customWidth="1"/>
    <col min="5" max="5" width="34.1640625" style="3" bestFit="1" customWidth="1"/>
    <col min="6" max="6" width="8.33203125" style="3" customWidth="1"/>
    <col min="7" max="8" width="15.83203125" style="3" customWidth="1"/>
    <col min="9" max="9" width="9.33203125" style="3" bestFit="1" customWidth="1"/>
    <col min="10" max="10" width="6.5" style="3" customWidth="1"/>
    <col min="11" max="11" width="9.5" style="3" bestFit="1" customWidth="1"/>
    <col min="12" max="12" width="10.33203125" style="3" bestFit="1" customWidth="1"/>
    <col min="13" max="13" width="7.6640625" style="3" customWidth="1"/>
    <col min="14" max="14" width="13.6640625" style="3" bestFit="1" customWidth="1"/>
    <col min="15" max="15" width="11.33203125" style="3" customWidth="1"/>
    <col min="16" max="16" width="13.33203125" style="3" bestFit="1" customWidth="1"/>
    <col min="17" max="17" width="12" style="3" bestFit="1" customWidth="1"/>
    <col min="18" max="18" width="6.33203125" style="3" customWidth="1"/>
    <col min="19" max="19" width="8" style="3" customWidth="1"/>
    <col min="20" max="20" width="9.83203125" style="3" bestFit="1" customWidth="1"/>
    <col min="21" max="21" width="4.6640625" style="3" customWidth="1"/>
    <col min="22" max="22" width="14.6640625" style="3" bestFit="1" customWidth="1"/>
    <col min="23" max="23" width="10.1640625" style="7" customWidth="1"/>
    <col min="24" max="24" width="8" style="3" customWidth="1"/>
    <col min="25" max="25" width="11.1640625" style="7" customWidth="1"/>
    <col min="26" max="26" width="11.33203125" style="3" customWidth="1"/>
    <col min="27" max="27" width="7.6640625" style="3" customWidth="1"/>
    <col min="28" max="28" width="8.1640625" style="3" customWidth="1"/>
    <col min="29" max="30" width="8.83203125" style="3" customWidth="1"/>
    <col min="31" max="31" width="14.5" style="3" customWidth="1"/>
    <col min="32" max="33" width="11.6640625" style="3" customWidth="1"/>
    <col min="34" max="35" width="9" style="3" customWidth="1"/>
    <col min="36" max="38" width="7" style="3" customWidth="1"/>
    <col min="39" max="39" width="12.5" style="3" bestFit="1" customWidth="1"/>
    <col min="40" max="41" width="12.5" style="3" customWidth="1"/>
    <col min="42" max="42" width="8.83203125" style="7" customWidth="1"/>
    <col min="43" max="43" width="13.1640625" style="7" customWidth="1"/>
    <col min="44" max="44" width="7" style="3" customWidth="1"/>
    <col min="45" max="45" width="10.33203125" style="10" customWidth="1"/>
    <col min="46" max="46" width="10.6640625" style="11" customWidth="1"/>
    <col min="47" max="47" width="7" style="3" customWidth="1"/>
    <col min="48" max="48" width="7" style="12" customWidth="1"/>
    <col min="49" max="49" width="9.83203125" style="3" customWidth="1"/>
    <col min="50" max="50" width="8.5" style="3" customWidth="1"/>
    <col min="51" max="52" width="9.33203125" style="3" customWidth="1"/>
    <col min="53" max="53" width="7" style="3" customWidth="1"/>
    <col min="54" max="56" width="8.6640625" style="3" customWidth="1"/>
    <col min="57" max="61" width="7.6640625" style="3" customWidth="1"/>
    <col min="62" max="62" width="7.5" style="3" customWidth="1"/>
    <col min="63" max="65" width="7.6640625" style="3" customWidth="1"/>
    <col min="66" max="68" width="7.5" style="3" customWidth="1"/>
    <col min="69" max="69" width="6.5" style="3" customWidth="1"/>
    <col min="70" max="71" width="6.33203125" style="3" customWidth="1"/>
    <col min="72" max="72" width="6" style="3" customWidth="1"/>
    <col min="73" max="74" width="5.83203125" style="3" customWidth="1"/>
    <col min="75" max="75" width="15.1640625" style="3" bestFit="1" customWidth="1"/>
    <col min="76" max="76" width="14.1640625" style="3" customWidth="1"/>
    <col min="77" max="77" width="14.1640625" style="3" bestFit="1" customWidth="1"/>
    <col min="78" max="78" width="10.5" style="3" bestFit="1" customWidth="1"/>
    <col min="79" max="79" width="38.1640625" style="3" bestFit="1" customWidth="1"/>
    <col min="80" max="80" width="10.6640625" style="3" bestFit="1" customWidth="1"/>
    <col min="81" max="81" width="38.1640625" style="3" bestFit="1" customWidth="1"/>
    <col min="82" max="82" width="10" style="3" bestFit="1" customWidth="1"/>
    <col min="83" max="83" width="9.83203125" style="3" bestFit="1" customWidth="1"/>
    <col min="84" max="16384" width="8.83203125" style="3"/>
  </cols>
  <sheetData>
    <row r="1" spans="1:83" s="3" customFormat="1" x14ac:dyDescent="0.2">
      <c r="D1" s="5"/>
      <c r="W1" s="7"/>
      <c r="Y1" s="7"/>
      <c r="AI1" s="9" t="s">
        <v>109</v>
      </c>
      <c r="AP1" s="7"/>
      <c r="AQ1" s="7"/>
      <c r="AS1" s="10"/>
      <c r="AT1" s="11"/>
      <c r="AV1" s="12"/>
    </row>
    <row r="2" spans="1:83" s="3" customFormat="1" x14ac:dyDescent="0.2">
      <c r="A2" s="12" t="s">
        <v>75</v>
      </c>
      <c r="B2" s="12"/>
      <c r="C2" s="12"/>
      <c r="D2" s="9"/>
      <c r="W2" s="7"/>
      <c r="Y2" s="7"/>
      <c r="AA2" s="12" t="s">
        <v>76</v>
      </c>
      <c r="AI2" s="9" t="s">
        <v>77</v>
      </c>
      <c r="AP2" s="7"/>
      <c r="AQ2" s="7"/>
      <c r="AS2" s="10"/>
      <c r="AT2" s="11"/>
      <c r="AU2" s="13" t="s">
        <v>78</v>
      </c>
      <c r="AV2" s="13"/>
      <c r="AW2" s="13"/>
      <c r="BN2" s="13" t="s">
        <v>79</v>
      </c>
      <c r="BO2" s="13"/>
      <c r="BP2" s="13"/>
      <c r="BQ2" s="13" t="s">
        <v>80</v>
      </c>
      <c r="BR2" s="13"/>
      <c r="BS2" s="13"/>
      <c r="BT2" s="13" t="s">
        <v>81</v>
      </c>
      <c r="BU2" s="13"/>
      <c r="BV2" s="13"/>
    </row>
    <row r="4" spans="1:83" s="3" customFormat="1" ht="17" x14ac:dyDescent="0.2">
      <c r="A4" s="3" t="s">
        <v>0</v>
      </c>
      <c r="B4" s="5" t="s">
        <v>4728</v>
      </c>
      <c r="C4" s="5" t="s">
        <v>4731</v>
      </c>
      <c r="D4" s="5" t="s">
        <v>4730</v>
      </c>
      <c r="E4" s="5" t="s">
        <v>51</v>
      </c>
      <c r="F4" s="3" t="s">
        <v>1</v>
      </c>
      <c r="G4" s="3" t="s">
        <v>2</v>
      </c>
      <c r="H4" s="3" t="s">
        <v>3</v>
      </c>
      <c r="I4" s="3" t="s">
        <v>4</v>
      </c>
      <c r="J4" s="3" t="s">
        <v>5</v>
      </c>
      <c r="K4" s="3" t="s">
        <v>6</v>
      </c>
      <c r="L4" s="3" t="s">
        <v>7</v>
      </c>
      <c r="M4" s="3" t="s">
        <v>8</v>
      </c>
      <c r="N4" s="3" t="s">
        <v>9</v>
      </c>
      <c r="O4" s="3" t="s">
        <v>52</v>
      </c>
      <c r="P4" s="3" t="s">
        <v>10</v>
      </c>
      <c r="Q4" s="3" t="s">
        <v>11</v>
      </c>
      <c r="R4" s="3" t="s">
        <v>12</v>
      </c>
      <c r="S4" s="3" t="s">
        <v>13</v>
      </c>
      <c r="T4" s="3" t="s">
        <v>14</v>
      </c>
      <c r="U4" s="3" t="s">
        <v>15</v>
      </c>
      <c r="V4" s="3" t="s">
        <v>16</v>
      </c>
      <c r="W4" s="7" t="s">
        <v>4713</v>
      </c>
      <c r="X4" s="3" t="s">
        <v>54</v>
      </c>
      <c r="Y4" s="7" t="s">
        <v>17</v>
      </c>
      <c r="Z4" s="3" t="s">
        <v>55</v>
      </c>
      <c r="AA4" s="3" t="s">
        <v>18</v>
      </c>
      <c r="AB4" s="3" t="s">
        <v>56</v>
      </c>
      <c r="AC4" s="3" t="s">
        <v>57</v>
      </c>
      <c r="AD4" s="3" t="s">
        <v>58</v>
      </c>
      <c r="AE4" s="3" t="s">
        <v>19</v>
      </c>
      <c r="AF4" s="3" t="s">
        <v>20</v>
      </c>
      <c r="AG4" s="3" t="s">
        <v>21</v>
      </c>
      <c r="AH4" s="3" t="s">
        <v>22</v>
      </c>
      <c r="AI4" s="3" t="s">
        <v>23</v>
      </c>
      <c r="AJ4" s="3" t="s">
        <v>24</v>
      </c>
      <c r="AK4" s="3" t="s">
        <v>25</v>
      </c>
      <c r="AL4" s="3" t="s">
        <v>26</v>
      </c>
      <c r="AM4" s="3" t="s">
        <v>27</v>
      </c>
      <c r="AP4" s="7" t="s">
        <v>4712</v>
      </c>
      <c r="AQ4" s="7" t="s">
        <v>4715</v>
      </c>
      <c r="AR4" s="3" t="s">
        <v>60</v>
      </c>
      <c r="AS4" s="10" t="s">
        <v>28</v>
      </c>
      <c r="AT4" s="7" t="s">
        <v>4715</v>
      </c>
      <c r="AU4" s="3" t="s">
        <v>61</v>
      </c>
      <c r="AV4" s="12"/>
      <c r="AW4" s="3" t="s">
        <v>62</v>
      </c>
      <c r="AX4" s="3" t="s">
        <v>63</v>
      </c>
      <c r="AY4" s="3" t="s">
        <v>64</v>
      </c>
      <c r="AZ4" s="3" t="s">
        <v>65</v>
      </c>
      <c r="BA4" s="3" t="s">
        <v>29</v>
      </c>
      <c r="BB4" s="3" t="s">
        <v>30</v>
      </c>
      <c r="BC4" s="3" t="s">
        <v>31</v>
      </c>
      <c r="BD4" s="3" t="s">
        <v>32</v>
      </c>
      <c r="BE4" s="3" t="s">
        <v>33</v>
      </c>
      <c r="BF4" s="3" t="s">
        <v>34</v>
      </c>
      <c r="BG4" s="3" t="s">
        <v>35</v>
      </c>
      <c r="BH4" s="3" t="s">
        <v>36</v>
      </c>
      <c r="BI4" s="3" t="s">
        <v>37</v>
      </c>
      <c r="BJ4" s="3" t="s">
        <v>38</v>
      </c>
      <c r="BK4" s="3" t="s">
        <v>39</v>
      </c>
      <c r="BL4" s="3" t="s">
        <v>40</v>
      </c>
      <c r="BM4" s="3" t="s">
        <v>41</v>
      </c>
      <c r="BN4" s="3" t="s">
        <v>66</v>
      </c>
      <c r="BO4" s="3" t="s">
        <v>67</v>
      </c>
      <c r="BP4" s="3" t="s">
        <v>68</v>
      </c>
      <c r="BQ4" s="3" t="s">
        <v>69</v>
      </c>
      <c r="BR4" s="3" t="s">
        <v>70</v>
      </c>
      <c r="BS4" s="3" t="s">
        <v>71</v>
      </c>
      <c r="BT4" s="3" t="s">
        <v>72</v>
      </c>
      <c r="BU4" s="3" t="s">
        <v>73</v>
      </c>
      <c r="BV4" s="3" t="s">
        <v>74</v>
      </c>
      <c r="BW4" s="3" t="s">
        <v>42</v>
      </c>
      <c r="BX4" s="3" t="s">
        <v>43</v>
      </c>
      <c r="BY4" s="3" t="s">
        <v>44</v>
      </c>
      <c r="BZ4" s="3" t="s">
        <v>45</v>
      </c>
      <c r="CA4" s="3" t="s">
        <v>46</v>
      </c>
      <c r="CB4" s="3" t="s">
        <v>47</v>
      </c>
      <c r="CC4" s="3" t="s">
        <v>48</v>
      </c>
      <c r="CD4" s="3" t="s">
        <v>49</v>
      </c>
      <c r="CE4" s="3" t="s">
        <v>50</v>
      </c>
    </row>
    <row r="5" spans="1:83" s="3" customFormat="1" ht="16" x14ac:dyDescent="0.2">
      <c r="A5" s="3" t="s">
        <v>3367</v>
      </c>
      <c r="B5" s="4" t="s">
        <v>4726</v>
      </c>
      <c r="C5" s="4">
        <v>12</v>
      </c>
      <c r="D5" s="5" t="s">
        <v>4732</v>
      </c>
      <c r="E5" s="3" t="s">
        <v>3413</v>
      </c>
      <c r="F5" s="3">
        <v>18047</v>
      </c>
      <c r="G5" s="14">
        <v>45156.545138888891</v>
      </c>
      <c r="H5" s="14">
        <v>45170.309027777781</v>
      </c>
      <c r="I5" s="3" t="s">
        <v>897</v>
      </c>
      <c r="J5" s="3" t="s">
        <v>111</v>
      </c>
      <c r="K5" s="3" t="s">
        <v>111</v>
      </c>
      <c r="L5" s="3" t="s">
        <v>111</v>
      </c>
      <c r="M5" s="3" t="s">
        <v>112</v>
      </c>
      <c r="N5" s="3" t="s">
        <v>113</v>
      </c>
      <c r="O5" s="3" t="s">
        <v>113</v>
      </c>
      <c r="P5" s="3">
        <v>0</v>
      </c>
      <c r="Q5" s="3" t="s">
        <v>113</v>
      </c>
      <c r="R5" s="3" t="s">
        <v>114</v>
      </c>
      <c r="S5" s="3" t="s">
        <v>115</v>
      </c>
      <c r="T5" s="3" t="s">
        <v>116</v>
      </c>
      <c r="U5" s="3" t="s">
        <v>117</v>
      </c>
      <c r="V5" s="3" t="s">
        <v>118</v>
      </c>
      <c r="W5" s="7" t="s">
        <v>898</v>
      </c>
      <c r="X5" s="3" t="s">
        <v>899</v>
      </c>
      <c r="Y5" s="7" t="s">
        <v>900</v>
      </c>
      <c r="Z5" s="3" t="s">
        <v>901</v>
      </c>
      <c r="AA5" s="3" t="s">
        <v>902</v>
      </c>
      <c r="AB5" s="3" t="s">
        <v>903</v>
      </c>
      <c r="AC5" s="3" t="s">
        <v>904</v>
      </c>
      <c r="AD5" s="3">
        <v>0.28560000000000002</v>
      </c>
      <c r="AE5" s="3" t="s">
        <v>905</v>
      </c>
      <c r="AF5" s="3" t="s">
        <v>640</v>
      </c>
      <c r="AG5" s="3" t="s">
        <v>906</v>
      </c>
      <c r="AH5" s="3">
        <v>361.94639999999998</v>
      </c>
      <c r="AI5" s="3" t="s">
        <v>907</v>
      </c>
      <c r="AJ5" s="3" t="s">
        <v>113</v>
      </c>
      <c r="AK5" s="3" t="s">
        <v>113</v>
      </c>
      <c r="AL5" s="3" t="s">
        <v>113</v>
      </c>
      <c r="AM5" s="3" t="s">
        <v>131</v>
      </c>
      <c r="AN5" s="3" t="s">
        <v>3367</v>
      </c>
      <c r="AO5" s="3" t="s">
        <v>3413</v>
      </c>
      <c r="AP5" s="7" t="s">
        <v>908</v>
      </c>
      <c r="AQ5" s="7">
        <f t="shared" ref="AQ5:AQ13" si="0">VALUE(AP5)</f>
        <v>0.42559999999999998</v>
      </c>
      <c r="AR5" s="3" t="s">
        <v>812</v>
      </c>
      <c r="AS5" s="10">
        <v>0.30130000000000001</v>
      </c>
      <c r="AT5" s="11">
        <f t="shared" ref="AT5:AT13" si="1">VALUE(AS5)</f>
        <v>0.30130000000000001</v>
      </c>
      <c r="AU5" s="3" t="s">
        <v>909</v>
      </c>
      <c r="AV5" s="12"/>
      <c r="AW5" s="3" t="s">
        <v>910</v>
      </c>
      <c r="AX5" s="3" t="s">
        <v>911</v>
      </c>
      <c r="AY5" s="3" t="s">
        <v>912</v>
      </c>
      <c r="AZ5" s="3" t="s">
        <v>905</v>
      </c>
      <c r="BA5" s="3" t="s">
        <v>913</v>
      </c>
      <c r="BB5" s="3" t="s">
        <v>914</v>
      </c>
      <c r="BC5" s="3" t="s">
        <v>915</v>
      </c>
      <c r="BD5" s="3" t="s">
        <v>497</v>
      </c>
      <c r="BE5" s="3" t="s">
        <v>916</v>
      </c>
      <c r="BF5" s="3" t="s">
        <v>917</v>
      </c>
      <c r="BG5" s="3" t="s">
        <v>918</v>
      </c>
      <c r="BH5" s="3" t="s">
        <v>919</v>
      </c>
      <c r="BI5" s="3" t="s">
        <v>920</v>
      </c>
      <c r="BJ5" s="3" t="s">
        <v>921</v>
      </c>
      <c r="BK5" s="3" t="s">
        <v>922</v>
      </c>
      <c r="BL5" s="3" t="s">
        <v>923</v>
      </c>
      <c r="BM5" s="3" t="s">
        <v>924</v>
      </c>
      <c r="BN5" s="3" t="s">
        <v>152</v>
      </c>
      <c r="BO5" s="3" t="s">
        <v>152</v>
      </c>
      <c r="BP5" s="3" t="s">
        <v>152</v>
      </c>
      <c r="BQ5" s="3">
        <v>188</v>
      </c>
      <c r="BR5" s="3">
        <v>180</v>
      </c>
      <c r="BS5" s="3">
        <v>85</v>
      </c>
      <c r="BT5" s="3">
        <v>1253</v>
      </c>
      <c r="BU5" s="3">
        <v>1104</v>
      </c>
      <c r="BV5" s="3">
        <v>381</v>
      </c>
      <c r="BW5" s="3">
        <v>950</v>
      </c>
      <c r="BX5" s="3" t="s">
        <v>111</v>
      </c>
      <c r="BY5" s="3" t="s">
        <v>153</v>
      </c>
      <c r="BZ5" s="3">
        <v>0</v>
      </c>
      <c r="CA5" s="3" t="s">
        <v>111</v>
      </c>
      <c r="CB5" s="3" t="s">
        <v>111</v>
      </c>
      <c r="CC5" s="3" t="s">
        <v>925</v>
      </c>
      <c r="CD5" s="3" t="s">
        <v>111</v>
      </c>
      <c r="CE5" s="3">
        <v>5022</v>
      </c>
    </row>
    <row r="6" spans="1:83" s="3" customFormat="1" ht="16" x14ac:dyDescent="0.2">
      <c r="A6" s="3" t="s">
        <v>3368</v>
      </c>
      <c r="B6" s="5" t="s">
        <v>4726</v>
      </c>
      <c r="C6" s="4">
        <v>12</v>
      </c>
      <c r="D6" s="5" t="s">
        <v>4732</v>
      </c>
      <c r="E6" s="3" t="s">
        <v>3413</v>
      </c>
      <c r="F6" s="3">
        <v>18048</v>
      </c>
      <c r="G6" s="14">
        <v>45156.563194444447</v>
      </c>
      <c r="H6" s="14">
        <v>45170.30972222222</v>
      </c>
      <c r="I6" s="3" t="s">
        <v>957</v>
      </c>
      <c r="J6" s="3" t="s">
        <v>111</v>
      </c>
      <c r="K6" s="3" t="s">
        <v>111</v>
      </c>
      <c r="L6" s="3" t="s">
        <v>111</v>
      </c>
      <c r="M6" s="3" t="s">
        <v>112</v>
      </c>
      <c r="N6" s="3" t="s">
        <v>113</v>
      </c>
      <c r="O6" s="3" t="s">
        <v>113</v>
      </c>
      <c r="P6" s="3">
        <v>0</v>
      </c>
      <c r="Q6" s="3" t="s">
        <v>113</v>
      </c>
      <c r="R6" s="3" t="s">
        <v>114</v>
      </c>
      <c r="S6" s="3" t="s">
        <v>115</v>
      </c>
      <c r="T6" s="3" t="s">
        <v>116</v>
      </c>
      <c r="U6" s="3" t="s">
        <v>117</v>
      </c>
      <c r="V6" s="3" t="s">
        <v>118</v>
      </c>
      <c r="W6" s="7" t="s">
        <v>958</v>
      </c>
      <c r="X6" s="3" t="s">
        <v>959</v>
      </c>
      <c r="Y6" s="7" t="s">
        <v>960</v>
      </c>
      <c r="Z6" s="3" t="s">
        <v>961</v>
      </c>
      <c r="AA6" s="3" t="s">
        <v>962</v>
      </c>
      <c r="AB6" s="3" t="s">
        <v>963</v>
      </c>
      <c r="AC6" s="3" t="s">
        <v>964</v>
      </c>
      <c r="AD6" s="3">
        <v>0.32819999999999999</v>
      </c>
      <c r="AE6" s="3" t="s">
        <v>965</v>
      </c>
      <c r="AF6" s="3" t="s">
        <v>966</v>
      </c>
      <c r="AG6" s="3" t="s">
        <v>967</v>
      </c>
      <c r="AH6" s="3">
        <v>337.59629999999999</v>
      </c>
      <c r="AI6" s="3" t="s">
        <v>968</v>
      </c>
      <c r="AJ6" s="3" t="s">
        <v>113</v>
      </c>
      <c r="AK6" s="3" t="s">
        <v>113</v>
      </c>
      <c r="AL6" s="3" t="s">
        <v>113</v>
      </c>
      <c r="AM6" s="3" t="s">
        <v>131</v>
      </c>
      <c r="AN6" s="3" t="s">
        <v>3368</v>
      </c>
      <c r="AO6" s="3" t="s">
        <v>3413</v>
      </c>
      <c r="AP6" s="7" t="s">
        <v>969</v>
      </c>
      <c r="AQ6" s="7">
        <f t="shared" si="0"/>
        <v>0.42699999999999999</v>
      </c>
      <c r="AR6" s="3" t="s">
        <v>970</v>
      </c>
      <c r="AS6" s="10">
        <v>0.27960000000000002</v>
      </c>
      <c r="AT6" s="11">
        <f t="shared" si="1"/>
        <v>0.27960000000000002</v>
      </c>
      <c r="AU6" s="3" t="s">
        <v>971</v>
      </c>
      <c r="AV6" s="12"/>
      <c r="AW6" s="3" t="s">
        <v>972</v>
      </c>
      <c r="AX6" s="3" t="s">
        <v>973</v>
      </c>
      <c r="AY6" s="3" t="s">
        <v>974</v>
      </c>
      <c r="AZ6" s="3" t="s">
        <v>816</v>
      </c>
      <c r="BA6" s="3" t="s">
        <v>975</v>
      </c>
      <c r="BB6" s="3" t="s">
        <v>976</v>
      </c>
      <c r="BC6" s="3" t="s">
        <v>977</v>
      </c>
      <c r="BD6" s="3" t="s">
        <v>978</v>
      </c>
      <c r="BE6" s="3" t="s">
        <v>979</v>
      </c>
      <c r="BF6" s="3" t="s">
        <v>980</v>
      </c>
      <c r="BG6" s="3" t="s">
        <v>981</v>
      </c>
      <c r="BH6" s="3" t="s">
        <v>982</v>
      </c>
      <c r="BI6" s="3" t="s">
        <v>983</v>
      </c>
      <c r="BJ6" s="3" t="s">
        <v>984</v>
      </c>
      <c r="BK6" s="3" t="s">
        <v>985</v>
      </c>
      <c r="BL6" s="3" t="s">
        <v>986</v>
      </c>
      <c r="BM6" s="3" t="s">
        <v>987</v>
      </c>
      <c r="BN6" s="3" t="s">
        <v>152</v>
      </c>
      <c r="BO6" s="3" t="s">
        <v>152</v>
      </c>
      <c r="BP6" s="3" t="s">
        <v>152</v>
      </c>
      <c r="BQ6" s="3">
        <v>208</v>
      </c>
      <c r="BR6" s="3">
        <v>156</v>
      </c>
      <c r="BS6" s="3">
        <v>70</v>
      </c>
      <c r="BT6" s="3">
        <v>1142</v>
      </c>
      <c r="BU6" s="3">
        <v>1500</v>
      </c>
      <c r="BV6" s="3">
        <v>760</v>
      </c>
      <c r="BW6" s="3">
        <v>1110</v>
      </c>
      <c r="BX6" s="3" t="s">
        <v>111</v>
      </c>
      <c r="BY6" s="3" t="s">
        <v>153</v>
      </c>
      <c r="BZ6" s="3">
        <v>0</v>
      </c>
      <c r="CA6" s="3" t="s">
        <v>111</v>
      </c>
      <c r="CB6" s="3" t="s">
        <v>111</v>
      </c>
      <c r="CC6" s="3" t="s">
        <v>988</v>
      </c>
      <c r="CD6" s="3" t="s">
        <v>111</v>
      </c>
      <c r="CE6" s="3">
        <v>5022</v>
      </c>
    </row>
    <row r="7" spans="1:83" s="3" customFormat="1" ht="16" x14ac:dyDescent="0.2">
      <c r="A7" s="3" t="s">
        <v>3369</v>
      </c>
      <c r="B7" s="4" t="s">
        <v>4726</v>
      </c>
      <c r="C7" s="4">
        <v>12</v>
      </c>
      <c r="D7" s="5" t="s">
        <v>4732</v>
      </c>
      <c r="E7" s="3" t="s">
        <v>3413</v>
      </c>
      <c r="F7" s="3">
        <v>18049</v>
      </c>
      <c r="G7" s="14">
        <v>45156.543055555558</v>
      </c>
      <c r="H7" s="14">
        <v>45170.310416666667</v>
      </c>
      <c r="I7" s="3" t="s">
        <v>1017</v>
      </c>
      <c r="J7" s="3" t="s">
        <v>111</v>
      </c>
      <c r="K7" s="3" t="s">
        <v>111</v>
      </c>
      <c r="L7" s="3" t="s">
        <v>111</v>
      </c>
      <c r="M7" s="3" t="s">
        <v>112</v>
      </c>
      <c r="N7" s="3" t="s">
        <v>113</v>
      </c>
      <c r="O7" s="3" t="s">
        <v>113</v>
      </c>
      <c r="P7" s="3">
        <v>0</v>
      </c>
      <c r="Q7" s="3" t="s">
        <v>113</v>
      </c>
      <c r="R7" s="3" t="s">
        <v>114</v>
      </c>
      <c r="S7" s="3" t="s">
        <v>115</v>
      </c>
      <c r="T7" s="3" t="s">
        <v>116</v>
      </c>
      <c r="U7" s="3" t="s">
        <v>117</v>
      </c>
      <c r="V7" s="3" t="s">
        <v>118</v>
      </c>
      <c r="W7" s="7" t="s">
        <v>1018</v>
      </c>
      <c r="X7" s="3" t="s">
        <v>1019</v>
      </c>
      <c r="Y7" s="7" t="s">
        <v>1020</v>
      </c>
      <c r="Z7" s="3" t="s">
        <v>1021</v>
      </c>
      <c r="AA7" s="3" t="s">
        <v>1022</v>
      </c>
      <c r="AB7" s="3" t="s">
        <v>1023</v>
      </c>
      <c r="AC7" s="3" t="s">
        <v>1024</v>
      </c>
      <c r="AD7" s="3" t="s">
        <v>584</v>
      </c>
      <c r="AE7" s="3" t="s">
        <v>1025</v>
      </c>
      <c r="AF7" s="3" t="s">
        <v>1013</v>
      </c>
      <c r="AG7" s="3" t="s">
        <v>1026</v>
      </c>
      <c r="AH7" s="3">
        <v>348.71730000000002</v>
      </c>
      <c r="AI7" s="3" t="s">
        <v>1027</v>
      </c>
      <c r="AJ7" s="3" t="s">
        <v>113</v>
      </c>
      <c r="AK7" s="3" t="s">
        <v>113</v>
      </c>
      <c r="AL7" s="3" t="s">
        <v>113</v>
      </c>
      <c r="AM7" s="3" t="s">
        <v>131</v>
      </c>
      <c r="AN7" s="3" t="s">
        <v>3369</v>
      </c>
      <c r="AO7" s="3" t="s">
        <v>3413</v>
      </c>
      <c r="AP7" s="7" t="s">
        <v>1028</v>
      </c>
      <c r="AQ7" s="7">
        <f t="shared" si="0"/>
        <v>0.4168</v>
      </c>
      <c r="AR7" s="3" t="s">
        <v>1029</v>
      </c>
      <c r="AS7" s="10">
        <v>0.28570000000000001</v>
      </c>
      <c r="AT7" s="11">
        <f t="shared" si="1"/>
        <v>0.28570000000000001</v>
      </c>
      <c r="AU7" s="3" t="s">
        <v>1030</v>
      </c>
      <c r="AV7" s="12"/>
      <c r="AW7" s="3" t="s">
        <v>1031</v>
      </c>
      <c r="AX7" s="3" t="s">
        <v>1032</v>
      </c>
      <c r="AY7" s="3" t="s">
        <v>742</v>
      </c>
      <c r="AZ7" s="3" t="s">
        <v>1033</v>
      </c>
      <c r="BA7" s="3" t="s">
        <v>1034</v>
      </c>
      <c r="BB7" s="3" t="s">
        <v>1035</v>
      </c>
      <c r="BC7" s="3" t="s">
        <v>1036</v>
      </c>
      <c r="BD7" s="3" t="s">
        <v>1037</v>
      </c>
      <c r="BE7" s="3" t="s">
        <v>1038</v>
      </c>
      <c r="BF7" s="3" t="s">
        <v>1039</v>
      </c>
      <c r="BG7" s="3" t="s">
        <v>1040</v>
      </c>
      <c r="BH7" s="3" t="s">
        <v>810</v>
      </c>
      <c r="BI7" s="3" t="s">
        <v>1041</v>
      </c>
      <c r="BJ7" s="3" t="s">
        <v>1042</v>
      </c>
      <c r="BK7" s="3" t="s">
        <v>1043</v>
      </c>
      <c r="BL7" s="3" t="s">
        <v>1044</v>
      </c>
      <c r="BM7" s="3" t="s">
        <v>1045</v>
      </c>
      <c r="BN7" s="3" t="s">
        <v>152</v>
      </c>
      <c r="BO7" s="3" t="s">
        <v>152</v>
      </c>
      <c r="BP7" s="3" t="s">
        <v>152</v>
      </c>
      <c r="BQ7" s="3">
        <v>160</v>
      </c>
      <c r="BR7" s="3">
        <v>172</v>
      </c>
      <c r="BS7" s="3">
        <v>83</v>
      </c>
      <c r="BT7" s="3">
        <v>558</v>
      </c>
      <c r="BU7" s="3">
        <v>1444</v>
      </c>
      <c r="BV7" s="3">
        <v>847</v>
      </c>
      <c r="BW7" s="3">
        <v>1126</v>
      </c>
      <c r="BX7" s="3" t="s">
        <v>111</v>
      </c>
      <c r="BY7" s="3" t="s">
        <v>153</v>
      </c>
      <c r="BZ7" s="3">
        <v>0</v>
      </c>
      <c r="CA7" s="3" t="s">
        <v>111</v>
      </c>
      <c r="CB7" s="3" t="s">
        <v>111</v>
      </c>
      <c r="CC7" s="3" t="s">
        <v>1046</v>
      </c>
      <c r="CD7" s="3" t="s">
        <v>111</v>
      </c>
      <c r="CE7" s="3">
        <v>5022</v>
      </c>
    </row>
    <row r="8" spans="1:83" s="3" customFormat="1" x14ac:dyDescent="0.2">
      <c r="A8" s="3" t="s">
        <v>3401</v>
      </c>
      <c r="B8" s="5" t="s">
        <v>4727</v>
      </c>
      <c r="C8" s="5">
        <v>10</v>
      </c>
      <c r="D8" s="5" t="s">
        <v>4732</v>
      </c>
      <c r="E8" s="3" t="s">
        <v>3413</v>
      </c>
      <c r="F8" s="3">
        <v>17302</v>
      </c>
      <c r="G8" s="14">
        <v>44747.53125</v>
      </c>
      <c r="H8" s="14">
        <v>45156.759027777778</v>
      </c>
      <c r="I8" s="3" t="s">
        <v>2591</v>
      </c>
      <c r="J8" s="3" t="s">
        <v>111</v>
      </c>
      <c r="K8" s="3" t="s">
        <v>111</v>
      </c>
      <c r="L8" s="3" t="s">
        <v>111</v>
      </c>
      <c r="M8" s="3" t="s">
        <v>112</v>
      </c>
      <c r="N8" s="3" t="s">
        <v>2165</v>
      </c>
      <c r="O8" s="3" t="s">
        <v>2166</v>
      </c>
      <c r="P8" s="3">
        <v>36</v>
      </c>
      <c r="Q8" s="3" t="s">
        <v>2167</v>
      </c>
      <c r="R8" s="3" t="s">
        <v>114</v>
      </c>
      <c r="S8" s="3" t="s">
        <v>115</v>
      </c>
      <c r="T8" s="3" t="s">
        <v>116</v>
      </c>
      <c r="U8" s="3" t="s">
        <v>117</v>
      </c>
      <c r="V8" s="3" t="s">
        <v>118</v>
      </c>
      <c r="W8" s="7" t="s">
        <v>2704</v>
      </c>
      <c r="X8" s="3" t="s">
        <v>1065</v>
      </c>
      <c r="Y8" s="7" t="s">
        <v>2705</v>
      </c>
      <c r="Z8" s="3" t="s">
        <v>2706</v>
      </c>
      <c r="AA8" s="3" t="s">
        <v>2707</v>
      </c>
      <c r="AB8" s="3" t="s">
        <v>2708</v>
      </c>
      <c r="AC8" s="3" t="s">
        <v>1350</v>
      </c>
      <c r="AD8" s="3" t="s">
        <v>2179</v>
      </c>
      <c r="AE8" s="3" t="s">
        <v>2594</v>
      </c>
      <c r="AF8" s="3" t="s">
        <v>2709</v>
      </c>
      <c r="AG8" s="3" t="s">
        <v>515</v>
      </c>
      <c r="AH8" s="3">
        <v>312.44650000000001</v>
      </c>
      <c r="AI8" s="3" t="s">
        <v>2437</v>
      </c>
      <c r="AJ8" s="3" t="s">
        <v>113</v>
      </c>
      <c r="AK8" s="3" t="s">
        <v>113</v>
      </c>
      <c r="AL8" s="3" t="s">
        <v>113</v>
      </c>
      <c r="AM8" s="3" t="s">
        <v>131</v>
      </c>
      <c r="AN8" s="3" t="s">
        <v>3401</v>
      </c>
      <c r="AO8" s="3" t="s">
        <v>3413</v>
      </c>
      <c r="AP8" s="7" t="s">
        <v>2710</v>
      </c>
      <c r="AQ8" s="7">
        <f t="shared" si="0"/>
        <v>0.59470000000000001</v>
      </c>
      <c r="AR8" s="3" t="s">
        <v>2711</v>
      </c>
      <c r="AS8" s="10" t="s">
        <v>859</v>
      </c>
      <c r="AT8" s="11">
        <f t="shared" si="1"/>
        <v>0.26369999999999999</v>
      </c>
      <c r="AU8" s="3" t="s">
        <v>2712</v>
      </c>
      <c r="AV8" s="12"/>
      <c r="AW8" s="3" t="s">
        <v>2713</v>
      </c>
      <c r="AX8" s="3" t="s">
        <v>2714</v>
      </c>
      <c r="AY8" s="3" t="s">
        <v>2715</v>
      </c>
      <c r="AZ8" s="3" t="s">
        <v>2716</v>
      </c>
      <c r="BA8" s="3" t="s">
        <v>2717</v>
      </c>
      <c r="BB8" s="3" t="s">
        <v>2718</v>
      </c>
      <c r="BC8" s="3" t="s">
        <v>2719</v>
      </c>
      <c r="BD8" s="3" t="s">
        <v>2720</v>
      </c>
      <c r="BE8" s="3" t="s">
        <v>2721</v>
      </c>
      <c r="BF8" s="3" t="s">
        <v>2722</v>
      </c>
      <c r="BG8" s="3" t="s">
        <v>2723</v>
      </c>
      <c r="BH8" s="3" t="s">
        <v>2105</v>
      </c>
      <c r="BI8" s="3" t="s">
        <v>2724</v>
      </c>
      <c r="BJ8" s="3" t="s">
        <v>2725</v>
      </c>
      <c r="BK8" s="3" t="s">
        <v>2726</v>
      </c>
      <c r="BL8" s="3" t="s">
        <v>2727</v>
      </c>
      <c r="BM8" s="3" t="s">
        <v>2728</v>
      </c>
      <c r="BN8" s="3" t="s">
        <v>152</v>
      </c>
      <c r="BO8" s="3" t="s">
        <v>152</v>
      </c>
      <c r="BP8" s="3" t="s">
        <v>152</v>
      </c>
      <c r="BQ8" s="3">
        <v>196</v>
      </c>
      <c r="BR8" s="3">
        <v>156</v>
      </c>
      <c r="BS8" s="3">
        <v>78</v>
      </c>
      <c r="BT8" s="3">
        <v>1257</v>
      </c>
      <c r="BU8" s="3">
        <v>1193</v>
      </c>
      <c r="BV8" s="3">
        <v>541</v>
      </c>
      <c r="BW8" s="3">
        <v>1685</v>
      </c>
      <c r="BX8" s="3" t="s">
        <v>153</v>
      </c>
      <c r="BY8" s="3" t="s">
        <v>153</v>
      </c>
      <c r="BZ8" s="3">
        <v>0</v>
      </c>
      <c r="CA8" s="3" t="s">
        <v>2593</v>
      </c>
      <c r="CB8" s="3" t="s">
        <v>111</v>
      </c>
      <c r="CC8" s="3" t="s">
        <v>2593</v>
      </c>
      <c r="CD8" s="3" t="s">
        <v>111</v>
      </c>
      <c r="CE8" s="3">
        <v>5022</v>
      </c>
    </row>
    <row r="9" spans="1:83" s="3" customFormat="1" x14ac:dyDescent="0.2">
      <c r="A9" s="3" t="s">
        <v>3402</v>
      </c>
      <c r="B9" s="5" t="s">
        <v>4727</v>
      </c>
      <c r="C9" s="5">
        <v>10</v>
      </c>
      <c r="D9" s="5" t="s">
        <v>4732</v>
      </c>
      <c r="E9" s="3" t="s">
        <v>3413</v>
      </c>
      <c r="F9" s="3">
        <v>17302</v>
      </c>
      <c r="G9" s="14">
        <v>44747.53125</v>
      </c>
      <c r="H9" s="14">
        <v>45156.762499999997</v>
      </c>
      <c r="I9" s="3" t="s">
        <v>2591</v>
      </c>
      <c r="J9" s="3" t="s">
        <v>111</v>
      </c>
      <c r="K9" s="3" t="s">
        <v>111</v>
      </c>
      <c r="L9" s="3" t="s">
        <v>111</v>
      </c>
      <c r="M9" s="3" t="s">
        <v>112</v>
      </c>
      <c r="N9" s="3" t="s">
        <v>2165</v>
      </c>
      <c r="O9" s="3" t="s">
        <v>2166</v>
      </c>
      <c r="P9" s="3">
        <v>36</v>
      </c>
      <c r="Q9" s="3" t="s">
        <v>2167</v>
      </c>
      <c r="R9" s="3" t="s">
        <v>114</v>
      </c>
      <c r="S9" s="3" t="s">
        <v>115</v>
      </c>
      <c r="T9" s="3" t="s">
        <v>116</v>
      </c>
      <c r="U9" s="3" t="s">
        <v>117</v>
      </c>
      <c r="V9" s="3" t="s">
        <v>118</v>
      </c>
      <c r="W9" s="7" t="s">
        <v>2729</v>
      </c>
      <c r="X9" s="3" t="s">
        <v>2730</v>
      </c>
      <c r="Y9" s="7" t="s">
        <v>275</v>
      </c>
      <c r="Z9" s="3" t="s">
        <v>2731</v>
      </c>
      <c r="AA9" s="3" t="s">
        <v>2732</v>
      </c>
      <c r="AB9" s="3" t="s">
        <v>2733</v>
      </c>
      <c r="AC9" s="3" t="s">
        <v>1721</v>
      </c>
      <c r="AD9" s="3" t="s">
        <v>2734</v>
      </c>
      <c r="AE9" s="3" t="s">
        <v>478</v>
      </c>
      <c r="AF9" s="3" t="s">
        <v>2735</v>
      </c>
      <c r="AG9" s="3" t="s">
        <v>449</v>
      </c>
      <c r="AH9" s="3">
        <v>424.67529999999999</v>
      </c>
      <c r="AI9" s="3" t="s">
        <v>2736</v>
      </c>
      <c r="AJ9" s="3" t="s">
        <v>113</v>
      </c>
      <c r="AK9" s="3" t="s">
        <v>113</v>
      </c>
      <c r="AL9" s="3" t="s">
        <v>113</v>
      </c>
      <c r="AM9" s="3" t="s">
        <v>131</v>
      </c>
      <c r="AN9" s="3" t="s">
        <v>3402</v>
      </c>
      <c r="AO9" s="3" t="s">
        <v>3413</v>
      </c>
      <c r="AP9" s="7" t="s">
        <v>2737</v>
      </c>
      <c r="AQ9" s="7">
        <f t="shared" si="0"/>
        <v>0.54949999999999999</v>
      </c>
      <c r="AR9" s="3" t="s">
        <v>2738</v>
      </c>
      <c r="AS9" s="10" t="s">
        <v>2739</v>
      </c>
      <c r="AT9" s="11">
        <f t="shared" si="1"/>
        <v>0.38109999999999999</v>
      </c>
      <c r="AU9" s="3" t="s">
        <v>2740</v>
      </c>
      <c r="AV9" s="12"/>
      <c r="AW9" s="3" t="s">
        <v>2741</v>
      </c>
      <c r="AX9" s="3" t="s">
        <v>2742</v>
      </c>
      <c r="AY9" s="3" t="s">
        <v>1005</v>
      </c>
      <c r="AZ9" s="3" t="s">
        <v>201</v>
      </c>
      <c r="BA9" s="3" t="s">
        <v>2743</v>
      </c>
      <c r="BB9" s="3" t="s">
        <v>2744</v>
      </c>
      <c r="BC9" s="3" t="s">
        <v>2745</v>
      </c>
      <c r="BD9" s="3" t="s">
        <v>2746</v>
      </c>
      <c r="BE9" s="3" t="s">
        <v>858</v>
      </c>
      <c r="BF9" s="3" t="s">
        <v>2747</v>
      </c>
      <c r="BG9" s="3" t="s">
        <v>934</v>
      </c>
      <c r="BH9" s="3" t="s">
        <v>1290</v>
      </c>
      <c r="BI9" s="3" t="s">
        <v>2748</v>
      </c>
      <c r="BJ9" s="3" t="s">
        <v>320</v>
      </c>
      <c r="BK9" s="3" t="s">
        <v>2749</v>
      </c>
      <c r="BL9" s="3" t="s">
        <v>1822</v>
      </c>
      <c r="BM9" s="3" t="s">
        <v>2601</v>
      </c>
      <c r="BN9" s="3" t="s">
        <v>152</v>
      </c>
      <c r="BO9" s="3" t="s">
        <v>152</v>
      </c>
      <c r="BP9" s="3" t="s">
        <v>152</v>
      </c>
      <c r="BQ9" s="3">
        <v>212</v>
      </c>
      <c r="BR9" s="3">
        <v>184</v>
      </c>
      <c r="BS9" s="3">
        <v>77</v>
      </c>
      <c r="BT9" s="3">
        <v>1005</v>
      </c>
      <c r="BU9" s="3">
        <v>1608</v>
      </c>
      <c r="BV9" s="3">
        <v>371</v>
      </c>
      <c r="BW9" s="3">
        <v>1685</v>
      </c>
      <c r="BX9" s="3" t="s">
        <v>153</v>
      </c>
      <c r="BY9" s="3" t="s">
        <v>153</v>
      </c>
      <c r="BZ9" s="3">
        <v>0</v>
      </c>
      <c r="CA9" s="3" t="s">
        <v>2593</v>
      </c>
      <c r="CB9" s="3" t="s">
        <v>111</v>
      </c>
      <c r="CC9" s="3" t="s">
        <v>2593</v>
      </c>
      <c r="CD9" s="3" t="s">
        <v>111</v>
      </c>
      <c r="CE9" s="3">
        <v>5022</v>
      </c>
    </row>
    <row r="10" spans="1:83" s="3" customFormat="1" x14ac:dyDescent="0.2">
      <c r="A10" s="3" t="s">
        <v>3403</v>
      </c>
      <c r="B10" s="5" t="s">
        <v>4727</v>
      </c>
      <c r="C10" s="5">
        <v>12</v>
      </c>
      <c r="D10" s="5" t="s">
        <v>4732</v>
      </c>
      <c r="E10" s="3" t="s">
        <v>3413</v>
      </c>
      <c r="F10" s="3">
        <v>17302</v>
      </c>
      <c r="G10" s="14">
        <v>44747.53125</v>
      </c>
      <c r="H10" s="14">
        <v>45156.768055555556</v>
      </c>
      <c r="I10" s="3" t="s">
        <v>2591</v>
      </c>
      <c r="J10" s="3" t="s">
        <v>111</v>
      </c>
      <c r="K10" s="3" t="s">
        <v>111</v>
      </c>
      <c r="L10" s="3" t="s">
        <v>111</v>
      </c>
      <c r="M10" s="3" t="s">
        <v>112</v>
      </c>
      <c r="N10" s="3" t="s">
        <v>2165</v>
      </c>
      <c r="O10" s="3" t="s">
        <v>2166</v>
      </c>
      <c r="P10" s="3">
        <v>36</v>
      </c>
      <c r="Q10" s="3" t="s">
        <v>2167</v>
      </c>
      <c r="R10" s="3" t="s">
        <v>114</v>
      </c>
      <c r="S10" s="3" t="s">
        <v>115</v>
      </c>
      <c r="T10" s="3" t="s">
        <v>116</v>
      </c>
      <c r="U10" s="3" t="s">
        <v>117</v>
      </c>
      <c r="V10" s="3" t="s">
        <v>118</v>
      </c>
      <c r="W10" s="7" t="s">
        <v>2750</v>
      </c>
      <c r="X10" s="3" t="s">
        <v>2751</v>
      </c>
      <c r="Y10" s="7" t="s">
        <v>2752</v>
      </c>
      <c r="Z10" s="3" t="s">
        <v>2753</v>
      </c>
      <c r="AA10" s="3" t="s">
        <v>2754</v>
      </c>
      <c r="AB10" s="3" t="s">
        <v>2755</v>
      </c>
      <c r="AC10" s="3" t="s">
        <v>2756</v>
      </c>
      <c r="AD10" s="3" t="s">
        <v>2757</v>
      </c>
      <c r="AE10" s="3" t="s">
        <v>1320</v>
      </c>
      <c r="AF10" s="3" t="s">
        <v>1319</v>
      </c>
      <c r="AG10" s="3" t="s">
        <v>449</v>
      </c>
      <c r="AH10" s="3">
        <v>304.45089999999999</v>
      </c>
      <c r="AI10" s="3" t="s">
        <v>2758</v>
      </c>
      <c r="AJ10" s="3" t="s">
        <v>113</v>
      </c>
      <c r="AK10" s="3" t="s">
        <v>113</v>
      </c>
      <c r="AL10" s="3" t="s">
        <v>113</v>
      </c>
      <c r="AM10" s="3" t="s">
        <v>131</v>
      </c>
      <c r="AN10" s="3" t="s">
        <v>3403</v>
      </c>
      <c r="AO10" s="3" t="s">
        <v>3413</v>
      </c>
      <c r="AP10" s="7" t="s">
        <v>2759</v>
      </c>
      <c r="AQ10" s="7">
        <f t="shared" si="0"/>
        <v>0.57299999999999995</v>
      </c>
      <c r="AR10" s="3" t="s">
        <v>879</v>
      </c>
      <c r="AS10" s="10" t="s">
        <v>2760</v>
      </c>
      <c r="AT10" s="11">
        <f t="shared" si="1"/>
        <v>0.2535</v>
      </c>
      <c r="AU10" s="3" t="s">
        <v>2761</v>
      </c>
      <c r="AV10" s="12"/>
      <c r="AW10" s="3" t="s">
        <v>2762</v>
      </c>
      <c r="AX10" s="3" t="s">
        <v>2763</v>
      </c>
      <c r="AY10" s="3" t="s">
        <v>2764</v>
      </c>
      <c r="AZ10" s="3" t="s">
        <v>629</v>
      </c>
      <c r="BA10" s="3" t="s">
        <v>2765</v>
      </c>
      <c r="BB10" s="3" t="s">
        <v>2766</v>
      </c>
      <c r="BC10" s="3" t="s">
        <v>2767</v>
      </c>
      <c r="BD10" s="3" t="s">
        <v>824</v>
      </c>
      <c r="BE10" s="3" t="s">
        <v>2768</v>
      </c>
      <c r="BF10" s="3" t="s">
        <v>2769</v>
      </c>
      <c r="BG10" s="3" t="s">
        <v>2770</v>
      </c>
      <c r="BH10" s="3" t="s">
        <v>1180</v>
      </c>
      <c r="BI10" s="3" t="s">
        <v>2771</v>
      </c>
      <c r="BJ10" s="3" t="s">
        <v>2189</v>
      </c>
      <c r="BK10" s="3" t="s">
        <v>510</v>
      </c>
      <c r="BL10" s="3" t="s">
        <v>2772</v>
      </c>
      <c r="BM10" s="3" t="s">
        <v>2050</v>
      </c>
      <c r="BN10" s="3" t="s">
        <v>152</v>
      </c>
      <c r="BO10" s="3" t="s">
        <v>152</v>
      </c>
      <c r="BP10" s="3" t="s">
        <v>152</v>
      </c>
      <c r="BQ10" s="3">
        <v>220</v>
      </c>
      <c r="BR10" s="3">
        <v>160</v>
      </c>
      <c r="BS10" s="3">
        <v>76</v>
      </c>
      <c r="BT10" s="3">
        <v>463</v>
      </c>
      <c r="BU10" s="3">
        <v>1562</v>
      </c>
      <c r="BV10" s="3">
        <v>281</v>
      </c>
      <c r="BW10" s="3">
        <v>1685</v>
      </c>
      <c r="BX10" s="3" t="s">
        <v>153</v>
      </c>
      <c r="BY10" s="3" t="s">
        <v>153</v>
      </c>
      <c r="BZ10" s="3">
        <v>0</v>
      </c>
      <c r="CA10" s="3" t="s">
        <v>2593</v>
      </c>
      <c r="CB10" s="3" t="s">
        <v>111</v>
      </c>
      <c r="CC10" s="3" t="s">
        <v>2593</v>
      </c>
      <c r="CD10" s="3" t="s">
        <v>111</v>
      </c>
      <c r="CE10" s="3">
        <v>5022</v>
      </c>
    </row>
    <row r="11" spans="1:83" s="3" customFormat="1" x14ac:dyDescent="0.2">
      <c r="A11" s="3" t="s">
        <v>3404</v>
      </c>
      <c r="B11" s="5" t="s">
        <v>4726</v>
      </c>
      <c r="C11" s="5">
        <v>12</v>
      </c>
      <c r="D11" s="5" t="s">
        <v>4732</v>
      </c>
      <c r="E11" s="3" t="s">
        <v>3413</v>
      </c>
      <c r="F11" s="3">
        <v>17302</v>
      </c>
      <c r="G11" s="14">
        <v>44747.53125</v>
      </c>
      <c r="H11" s="14">
        <v>45156.770833333336</v>
      </c>
      <c r="I11" s="3" t="s">
        <v>2591</v>
      </c>
      <c r="J11" s="3" t="s">
        <v>111</v>
      </c>
      <c r="K11" s="3" t="s">
        <v>111</v>
      </c>
      <c r="L11" s="3" t="s">
        <v>111</v>
      </c>
      <c r="M11" s="3" t="s">
        <v>112</v>
      </c>
      <c r="N11" s="3" t="s">
        <v>2165</v>
      </c>
      <c r="O11" s="3" t="s">
        <v>2166</v>
      </c>
      <c r="P11" s="3">
        <v>36</v>
      </c>
      <c r="Q11" s="3" t="s">
        <v>2167</v>
      </c>
      <c r="R11" s="3" t="s">
        <v>114</v>
      </c>
      <c r="S11" s="3" t="s">
        <v>115</v>
      </c>
      <c r="T11" s="3" t="s">
        <v>116</v>
      </c>
      <c r="U11" s="3" t="s">
        <v>117</v>
      </c>
      <c r="V11" s="3" t="s">
        <v>118</v>
      </c>
      <c r="W11" s="7" t="s">
        <v>2773</v>
      </c>
      <c r="X11" s="3" t="s">
        <v>876</v>
      </c>
      <c r="Y11" s="7" t="s">
        <v>2774</v>
      </c>
      <c r="Z11" s="3" t="s">
        <v>2775</v>
      </c>
      <c r="AA11" s="3" t="s">
        <v>2776</v>
      </c>
      <c r="AB11" s="3" t="s">
        <v>2777</v>
      </c>
      <c r="AC11" s="3" t="s">
        <v>478</v>
      </c>
      <c r="AD11" s="3" t="s">
        <v>2778</v>
      </c>
      <c r="AE11" s="3" t="s">
        <v>1594</v>
      </c>
      <c r="AF11" s="3" t="s">
        <v>2779</v>
      </c>
      <c r="AG11" s="3" t="s">
        <v>1305</v>
      </c>
      <c r="AH11" s="3">
        <v>325.7482</v>
      </c>
      <c r="AI11" s="3" t="s">
        <v>2536</v>
      </c>
      <c r="AJ11" s="3" t="s">
        <v>113</v>
      </c>
      <c r="AK11" s="3" t="s">
        <v>113</v>
      </c>
      <c r="AL11" s="3" t="s">
        <v>113</v>
      </c>
      <c r="AM11" s="3" t="s">
        <v>131</v>
      </c>
      <c r="AN11" s="3" t="s">
        <v>3404</v>
      </c>
      <c r="AO11" s="3" t="s">
        <v>3413</v>
      </c>
      <c r="AP11" s="7" t="s">
        <v>2780</v>
      </c>
      <c r="AQ11" s="7">
        <f t="shared" si="0"/>
        <v>0.39950000000000002</v>
      </c>
      <c r="AR11" s="3" t="s">
        <v>2781</v>
      </c>
      <c r="AS11" s="10" t="s">
        <v>2782</v>
      </c>
      <c r="AT11" s="11">
        <f t="shared" si="1"/>
        <v>0.25459999999999999</v>
      </c>
      <c r="AU11" s="3" t="s">
        <v>2783</v>
      </c>
      <c r="AV11" s="12"/>
      <c r="AW11" s="3" t="s">
        <v>2784</v>
      </c>
      <c r="AX11" s="3" t="s">
        <v>2785</v>
      </c>
      <c r="AY11" s="3" t="s">
        <v>2786</v>
      </c>
      <c r="AZ11" s="3" t="s">
        <v>2592</v>
      </c>
      <c r="BA11" s="3" t="s">
        <v>2787</v>
      </c>
      <c r="BB11" s="3" t="s">
        <v>2788</v>
      </c>
      <c r="BC11" s="3" t="s">
        <v>2789</v>
      </c>
      <c r="BD11" s="3" t="s">
        <v>331</v>
      </c>
      <c r="BE11" s="3" t="s">
        <v>2790</v>
      </c>
      <c r="BF11" s="3" t="s">
        <v>2791</v>
      </c>
      <c r="BG11" s="3" t="s">
        <v>2792</v>
      </c>
      <c r="BH11" s="3" t="s">
        <v>2793</v>
      </c>
      <c r="BI11" s="3" t="s">
        <v>2794</v>
      </c>
      <c r="BJ11" s="3" t="s">
        <v>2795</v>
      </c>
      <c r="BK11" s="3" t="s">
        <v>2796</v>
      </c>
      <c r="BL11" s="3" t="s">
        <v>2797</v>
      </c>
      <c r="BM11" s="3" t="s">
        <v>2177</v>
      </c>
      <c r="BN11" s="3" t="s">
        <v>152</v>
      </c>
      <c r="BO11" s="3" t="s">
        <v>152</v>
      </c>
      <c r="BP11" s="3" t="s">
        <v>152</v>
      </c>
      <c r="BQ11" s="3">
        <v>124</v>
      </c>
      <c r="BR11" s="3">
        <v>220</v>
      </c>
      <c r="BS11" s="3">
        <v>64</v>
      </c>
      <c r="BT11" s="3">
        <v>148</v>
      </c>
      <c r="BU11" s="3">
        <v>1104</v>
      </c>
      <c r="BV11" s="3">
        <v>251</v>
      </c>
      <c r="BW11" s="3">
        <v>1685</v>
      </c>
      <c r="BX11" s="3" t="s">
        <v>153</v>
      </c>
      <c r="BY11" s="3" t="s">
        <v>153</v>
      </c>
      <c r="BZ11" s="3">
        <v>0</v>
      </c>
      <c r="CA11" s="3" t="s">
        <v>2593</v>
      </c>
      <c r="CB11" s="3" t="s">
        <v>111</v>
      </c>
      <c r="CC11" s="3" t="s">
        <v>2593</v>
      </c>
      <c r="CD11" s="3" t="s">
        <v>111</v>
      </c>
      <c r="CE11" s="3">
        <v>5022</v>
      </c>
    </row>
    <row r="12" spans="1:83" s="3" customFormat="1" x14ac:dyDescent="0.2">
      <c r="A12" s="3" t="s">
        <v>3405</v>
      </c>
      <c r="B12" s="5" t="s">
        <v>4726</v>
      </c>
      <c r="C12" s="5">
        <v>12</v>
      </c>
      <c r="D12" s="5" t="s">
        <v>4732</v>
      </c>
      <c r="E12" s="3" t="s">
        <v>3413</v>
      </c>
      <c r="F12" s="3">
        <v>17303</v>
      </c>
      <c r="G12" s="14">
        <v>44747.633333333331</v>
      </c>
      <c r="H12" s="14">
        <v>45159.594444444447</v>
      </c>
      <c r="I12" s="3" t="s">
        <v>2986</v>
      </c>
      <c r="J12" s="3" t="s">
        <v>111</v>
      </c>
      <c r="K12" s="3" t="s">
        <v>111</v>
      </c>
      <c r="L12" s="3" t="s">
        <v>111</v>
      </c>
      <c r="M12" s="3" t="s">
        <v>112</v>
      </c>
      <c r="N12" s="3" t="s">
        <v>2165</v>
      </c>
      <c r="O12" s="3" t="s">
        <v>2166</v>
      </c>
      <c r="P12" s="3">
        <v>36</v>
      </c>
      <c r="Q12" s="3" t="s">
        <v>2167</v>
      </c>
      <c r="R12" s="3" t="s">
        <v>114</v>
      </c>
      <c r="S12" s="3" t="s">
        <v>115</v>
      </c>
      <c r="T12" s="3" t="s">
        <v>116</v>
      </c>
      <c r="U12" s="3" t="s">
        <v>117</v>
      </c>
      <c r="V12" s="3" t="s">
        <v>118</v>
      </c>
      <c r="W12" s="7" t="s">
        <v>2998</v>
      </c>
      <c r="X12" s="3" t="s">
        <v>127</v>
      </c>
      <c r="Y12" s="7" t="s">
        <v>928</v>
      </c>
      <c r="Z12" s="3" t="s">
        <v>2999</v>
      </c>
      <c r="AA12" s="3" t="s">
        <v>3000</v>
      </c>
      <c r="AB12" s="3" t="s">
        <v>3001</v>
      </c>
      <c r="AC12" s="3" t="s">
        <v>3002</v>
      </c>
      <c r="AD12" s="3" t="s">
        <v>1459</v>
      </c>
      <c r="AE12" s="3" t="s">
        <v>3003</v>
      </c>
      <c r="AF12" s="3" t="s">
        <v>1254</v>
      </c>
      <c r="AG12" s="3" t="s">
        <v>2882</v>
      </c>
      <c r="AH12" s="3">
        <v>312.80990000000003</v>
      </c>
      <c r="AI12" s="3" t="s">
        <v>3004</v>
      </c>
      <c r="AJ12" s="3" t="s">
        <v>113</v>
      </c>
      <c r="AK12" s="3" t="s">
        <v>113</v>
      </c>
      <c r="AL12" s="3" t="s">
        <v>113</v>
      </c>
      <c r="AM12" s="3" t="s">
        <v>131</v>
      </c>
      <c r="AN12" s="3" t="s">
        <v>3405</v>
      </c>
      <c r="AO12" s="3" t="s">
        <v>3413</v>
      </c>
      <c r="AP12" s="7" t="s">
        <v>3005</v>
      </c>
      <c r="AQ12" s="7">
        <f t="shared" si="0"/>
        <v>0.47899999999999998</v>
      </c>
      <c r="AR12" s="3" t="s">
        <v>593</v>
      </c>
      <c r="AS12" s="10" t="s">
        <v>3006</v>
      </c>
      <c r="AT12" s="11">
        <f t="shared" si="1"/>
        <v>0.26090000000000002</v>
      </c>
      <c r="AU12" s="3" t="s">
        <v>3007</v>
      </c>
      <c r="AV12" s="12"/>
      <c r="AW12" s="3" t="s">
        <v>3008</v>
      </c>
      <c r="AX12" s="3" t="s">
        <v>3009</v>
      </c>
      <c r="AY12" s="3" t="s">
        <v>1445</v>
      </c>
      <c r="AZ12" s="3" t="s">
        <v>2727</v>
      </c>
      <c r="BA12" s="3" t="s">
        <v>3010</v>
      </c>
      <c r="BB12" s="3" t="s">
        <v>635</v>
      </c>
      <c r="BC12" s="3" t="s">
        <v>1020</v>
      </c>
      <c r="BD12" s="3" t="s">
        <v>3011</v>
      </c>
      <c r="BE12" s="3" t="s">
        <v>1995</v>
      </c>
      <c r="BF12" s="3" t="s">
        <v>1935</v>
      </c>
      <c r="BG12" s="3" t="s">
        <v>3012</v>
      </c>
      <c r="BH12" s="3" t="s">
        <v>3013</v>
      </c>
      <c r="BI12" s="3" t="s">
        <v>3014</v>
      </c>
      <c r="BJ12" s="3" t="s">
        <v>3015</v>
      </c>
      <c r="BK12" s="3" t="s">
        <v>1661</v>
      </c>
      <c r="BL12" s="3" t="s">
        <v>3016</v>
      </c>
      <c r="BM12" s="3" t="s">
        <v>1132</v>
      </c>
      <c r="BN12" s="3" t="s">
        <v>152</v>
      </c>
      <c r="BO12" s="3" t="s">
        <v>152</v>
      </c>
      <c r="BP12" s="3" t="s">
        <v>152</v>
      </c>
      <c r="BQ12" s="3">
        <v>220</v>
      </c>
      <c r="BR12" s="3">
        <v>144</v>
      </c>
      <c r="BS12" s="3">
        <v>72</v>
      </c>
      <c r="BT12" s="3">
        <v>468</v>
      </c>
      <c r="BU12" s="3">
        <v>597</v>
      </c>
      <c r="BV12" s="3">
        <v>501</v>
      </c>
      <c r="BW12" s="3">
        <v>1126</v>
      </c>
      <c r="BX12" s="3" t="s">
        <v>153</v>
      </c>
      <c r="BY12" s="3" t="s">
        <v>153</v>
      </c>
      <c r="BZ12" s="3">
        <v>0</v>
      </c>
      <c r="CA12" s="3" t="s">
        <v>2990</v>
      </c>
      <c r="CB12" s="3" t="s">
        <v>111</v>
      </c>
      <c r="CC12" s="3" t="s">
        <v>2990</v>
      </c>
      <c r="CD12" s="3" t="s">
        <v>111</v>
      </c>
      <c r="CE12" s="3">
        <v>5022</v>
      </c>
    </row>
    <row r="13" spans="1:83" s="3" customFormat="1" x14ac:dyDescent="0.2">
      <c r="A13" s="3" t="s">
        <v>3406</v>
      </c>
      <c r="B13" s="5" t="s">
        <v>4726</v>
      </c>
      <c r="C13" s="5">
        <v>12</v>
      </c>
      <c r="D13" s="5" t="s">
        <v>4732</v>
      </c>
      <c r="E13" s="3" t="s">
        <v>3413</v>
      </c>
      <c r="F13" s="3">
        <v>17303</v>
      </c>
      <c r="G13" s="14">
        <v>44747.633333333331</v>
      </c>
      <c r="H13" s="14">
        <v>45159.59652777778</v>
      </c>
      <c r="I13" s="3" t="s">
        <v>2986</v>
      </c>
      <c r="J13" s="3" t="s">
        <v>111</v>
      </c>
      <c r="K13" s="3" t="s">
        <v>111</v>
      </c>
      <c r="L13" s="3" t="s">
        <v>111</v>
      </c>
      <c r="M13" s="3" t="s">
        <v>112</v>
      </c>
      <c r="N13" s="3" t="s">
        <v>2165</v>
      </c>
      <c r="O13" s="3" t="s">
        <v>2166</v>
      </c>
      <c r="P13" s="3">
        <v>36</v>
      </c>
      <c r="Q13" s="3" t="s">
        <v>2167</v>
      </c>
      <c r="R13" s="3" t="s">
        <v>114</v>
      </c>
      <c r="S13" s="3" t="s">
        <v>115</v>
      </c>
      <c r="T13" s="3" t="s">
        <v>116</v>
      </c>
      <c r="U13" s="3" t="s">
        <v>117</v>
      </c>
      <c r="V13" s="3" t="s">
        <v>118</v>
      </c>
      <c r="W13" s="7" t="s">
        <v>3017</v>
      </c>
      <c r="X13" s="3" t="s">
        <v>2035</v>
      </c>
      <c r="Y13" s="7" t="s">
        <v>2655</v>
      </c>
      <c r="Z13" s="3" t="s">
        <v>3018</v>
      </c>
      <c r="AA13" s="3" t="s">
        <v>3019</v>
      </c>
      <c r="AB13" s="3" t="s">
        <v>3020</v>
      </c>
      <c r="AC13" s="3" t="s">
        <v>1265</v>
      </c>
      <c r="AD13" s="3" t="s">
        <v>3021</v>
      </c>
      <c r="AE13" s="3" t="s">
        <v>868</v>
      </c>
      <c r="AF13" s="3" t="s">
        <v>1568</v>
      </c>
      <c r="AG13" s="3" t="s">
        <v>2744</v>
      </c>
      <c r="AH13" s="3">
        <v>278.86509999999998</v>
      </c>
      <c r="AI13" s="3" t="s">
        <v>3022</v>
      </c>
      <c r="AJ13" s="3" t="s">
        <v>113</v>
      </c>
      <c r="AK13" s="3" t="s">
        <v>113</v>
      </c>
      <c r="AL13" s="3" t="s">
        <v>113</v>
      </c>
      <c r="AM13" s="3" t="s">
        <v>131</v>
      </c>
      <c r="AN13" s="3" t="s">
        <v>3406</v>
      </c>
      <c r="AO13" s="3" t="s">
        <v>3413</v>
      </c>
      <c r="AP13" s="7" t="s">
        <v>3023</v>
      </c>
      <c r="AQ13" s="7">
        <f t="shared" si="0"/>
        <v>0.4607</v>
      </c>
      <c r="AR13" s="3" t="s">
        <v>3024</v>
      </c>
      <c r="AS13" s="10" t="s">
        <v>2907</v>
      </c>
      <c r="AT13" s="11">
        <f t="shared" si="1"/>
        <v>0.21</v>
      </c>
      <c r="AU13" s="3" t="s">
        <v>3025</v>
      </c>
      <c r="AV13" s="12"/>
      <c r="AW13" s="3" t="s">
        <v>3026</v>
      </c>
      <c r="AX13" s="3" t="s">
        <v>3027</v>
      </c>
      <c r="AY13" s="3" t="s">
        <v>3028</v>
      </c>
      <c r="AZ13" s="3" t="s">
        <v>2297</v>
      </c>
      <c r="BA13" s="3" t="s">
        <v>3029</v>
      </c>
      <c r="BB13" s="3" t="s">
        <v>3030</v>
      </c>
      <c r="BC13" s="3" t="s">
        <v>3031</v>
      </c>
      <c r="BD13" s="3" t="s">
        <v>3032</v>
      </c>
      <c r="BE13" s="3" t="s">
        <v>3033</v>
      </c>
      <c r="BF13" s="3" t="s">
        <v>3034</v>
      </c>
      <c r="BG13" s="3" t="s">
        <v>1562</v>
      </c>
      <c r="BH13" s="3" t="s">
        <v>1638</v>
      </c>
      <c r="BI13" s="3" t="s">
        <v>3035</v>
      </c>
      <c r="BJ13" s="3" t="s">
        <v>3036</v>
      </c>
      <c r="BK13" s="3" t="s">
        <v>3037</v>
      </c>
      <c r="BL13" s="3" t="s">
        <v>3038</v>
      </c>
      <c r="BM13" s="3" t="s">
        <v>3039</v>
      </c>
      <c r="BN13" s="3" t="s">
        <v>152</v>
      </c>
      <c r="BO13" s="3" t="s">
        <v>152</v>
      </c>
      <c r="BP13" s="3" t="s">
        <v>152</v>
      </c>
      <c r="BQ13" s="3">
        <v>184</v>
      </c>
      <c r="BR13" s="3">
        <v>168</v>
      </c>
      <c r="BS13" s="3">
        <v>80</v>
      </c>
      <c r="BT13" s="3">
        <v>500</v>
      </c>
      <c r="BU13" s="3">
        <v>394</v>
      </c>
      <c r="BV13" s="3">
        <v>211</v>
      </c>
      <c r="BW13" s="3">
        <v>1126</v>
      </c>
      <c r="BX13" s="3" t="s">
        <v>153</v>
      </c>
      <c r="BY13" s="3" t="s">
        <v>153</v>
      </c>
      <c r="BZ13" s="3">
        <v>0</v>
      </c>
      <c r="CA13" s="3" t="s">
        <v>2990</v>
      </c>
      <c r="CB13" s="3" t="s">
        <v>111</v>
      </c>
      <c r="CC13" s="3" t="s">
        <v>2990</v>
      </c>
      <c r="CD13" s="3" t="s">
        <v>111</v>
      </c>
      <c r="CE13" s="3">
        <v>5022</v>
      </c>
    </row>
    <row r="14" spans="1:83" s="3" customFormat="1" ht="16" x14ac:dyDescent="0.2">
      <c r="B14" s="4"/>
      <c r="C14" s="4"/>
      <c r="D14" s="5"/>
      <c r="W14" s="7"/>
      <c r="Y14" s="7"/>
      <c r="AP14" s="7"/>
      <c r="AQ14" s="7"/>
      <c r="AS14" s="10"/>
      <c r="AT14" s="11"/>
      <c r="AV14" s="12"/>
    </row>
    <row r="15" spans="1:83" s="3" customFormat="1" x14ac:dyDescent="0.2">
      <c r="A15" s="3" t="s">
        <v>3389</v>
      </c>
      <c r="B15" s="5" t="s">
        <v>4727</v>
      </c>
      <c r="C15" s="5">
        <v>10</v>
      </c>
      <c r="D15" s="5" t="s">
        <v>4733</v>
      </c>
      <c r="E15" s="3" t="s">
        <v>3413</v>
      </c>
      <c r="F15" s="3">
        <v>17301</v>
      </c>
      <c r="G15" s="14">
        <v>44747.459027777775</v>
      </c>
      <c r="H15" s="14">
        <v>45156.527083333334</v>
      </c>
      <c r="I15" s="3" t="s">
        <v>2164</v>
      </c>
      <c r="J15" s="3" t="s">
        <v>111</v>
      </c>
      <c r="K15" s="3" t="s">
        <v>111</v>
      </c>
      <c r="L15" s="3" t="s">
        <v>111</v>
      </c>
      <c r="M15" s="3" t="s">
        <v>112</v>
      </c>
      <c r="N15" s="3" t="s">
        <v>2165</v>
      </c>
      <c r="O15" s="3" t="s">
        <v>2166</v>
      </c>
      <c r="P15" s="3">
        <v>36</v>
      </c>
      <c r="Q15" s="3" t="s">
        <v>2167</v>
      </c>
      <c r="R15" s="3" t="s">
        <v>114</v>
      </c>
      <c r="S15" s="3" t="s">
        <v>115</v>
      </c>
      <c r="T15" s="3" t="s">
        <v>116</v>
      </c>
      <c r="U15" s="3" t="s">
        <v>117</v>
      </c>
      <c r="V15" s="3" t="s">
        <v>118</v>
      </c>
      <c r="W15" s="7" t="s">
        <v>2195</v>
      </c>
      <c r="X15" s="3" t="s">
        <v>1549</v>
      </c>
      <c r="Y15" s="7" t="s">
        <v>946</v>
      </c>
      <c r="Z15" s="3" t="s">
        <v>2196</v>
      </c>
      <c r="AA15" s="3" t="s">
        <v>2197</v>
      </c>
      <c r="AB15" s="3" t="s">
        <v>2198</v>
      </c>
      <c r="AC15" s="3" t="s">
        <v>2199</v>
      </c>
      <c r="AD15" s="3" t="s">
        <v>2200</v>
      </c>
      <c r="AE15" s="3" t="s">
        <v>470</v>
      </c>
      <c r="AF15" s="3" t="s">
        <v>2201</v>
      </c>
      <c r="AG15" s="3" t="s">
        <v>2202</v>
      </c>
      <c r="AH15" s="3">
        <v>251.38939999999999</v>
      </c>
      <c r="AI15" s="3" t="s">
        <v>2203</v>
      </c>
      <c r="AJ15" s="3" t="s">
        <v>113</v>
      </c>
      <c r="AK15" s="3" t="s">
        <v>113</v>
      </c>
      <c r="AL15" s="3" t="s">
        <v>113</v>
      </c>
      <c r="AM15" s="3" t="s">
        <v>131</v>
      </c>
      <c r="AN15" s="3" t="s">
        <v>3389</v>
      </c>
      <c r="AO15" s="3" t="s">
        <v>3413</v>
      </c>
      <c r="AP15" s="7" t="s">
        <v>2204</v>
      </c>
      <c r="AQ15" s="7">
        <f t="shared" ref="AQ15:AQ20" si="2">VALUE(AP15)</f>
        <v>0.46829999999999999</v>
      </c>
      <c r="AR15" s="3" t="s">
        <v>478</v>
      </c>
      <c r="AS15" s="10" t="s">
        <v>1633</v>
      </c>
      <c r="AT15" s="11">
        <f t="shared" ref="AT15:AT20" si="3">VALUE(AS15)</f>
        <v>0.1741</v>
      </c>
      <c r="AU15" s="3" t="s">
        <v>2205</v>
      </c>
      <c r="AV15" s="12"/>
      <c r="AW15" s="3" t="s">
        <v>2206</v>
      </c>
      <c r="AX15" s="3" t="s">
        <v>2207</v>
      </c>
      <c r="AY15" s="3" t="s">
        <v>2208</v>
      </c>
      <c r="AZ15" s="3" t="s">
        <v>2209</v>
      </c>
      <c r="BA15" s="3" t="s">
        <v>2210</v>
      </c>
      <c r="BB15" s="3" t="s">
        <v>2211</v>
      </c>
      <c r="BC15" s="3" t="s">
        <v>2212</v>
      </c>
      <c r="BD15" s="3" t="s">
        <v>2213</v>
      </c>
      <c r="BE15" s="3" t="s">
        <v>2214</v>
      </c>
      <c r="BF15" s="3" t="s">
        <v>2215</v>
      </c>
      <c r="BG15" s="3" t="s">
        <v>2134</v>
      </c>
      <c r="BH15" s="3" t="s">
        <v>2216</v>
      </c>
      <c r="BI15" s="3" t="s">
        <v>2217</v>
      </c>
      <c r="BJ15" s="3" t="s">
        <v>2218</v>
      </c>
      <c r="BK15" s="3" t="s">
        <v>2219</v>
      </c>
      <c r="BL15" s="3" t="s">
        <v>2220</v>
      </c>
      <c r="BM15" s="3" t="s">
        <v>2221</v>
      </c>
      <c r="BN15" s="3" t="s">
        <v>152</v>
      </c>
      <c r="BO15" s="3" t="s">
        <v>152</v>
      </c>
      <c r="BP15" s="3" t="s">
        <v>152</v>
      </c>
      <c r="BQ15" s="3">
        <v>172</v>
      </c>
      <c r="BR15" s="3">
        <v>152</v>
      </c>
      <c r="BS15" s="3">
        <v>68</v>
      </c>
      <c r="BT15" s="3">
        <v>184</v>
      </c>
      <c r="BU15" s="3">
        <v>564</v>
      </c>
      <c r="BV15" s="3">
        <v>181</v>
      </c>
      <c r="BW15" s="3">
        <v>1126</v>
      </c>
      <c r="BX15" s="3" t="s">
        <v>153</v>
      </c>
      <c r="BY15" s="3" t="s">
        <v>153</v>
      </c>
      <c r="BZ15" s="3">
        <v>0</v>
      </c>
      <c r="CA15" s="3" t="s">
        <v>2171</v>
      </c>
      <c r="CB15" s="3" t="s">
        <v>111</v>
      </c>
      <c r="CC15" s="3" t="s">
        <v>2171</v>
      </c>
      <c r="CD15" s="3" t="s">
        <v>111</v>
      </c>
      <c r="CE15" s="3">
        <v>5022</v>
      </c>
    </row>
    <row r="16" spans="1:83" s="3" customFormat="1" x14ac:dyDescent="0.2">
      <c r="A16" s="3" t="s">
        <v>3390</v>
      </c>
      <c r="B16" s="5" t="s">
        <v>4727</v>
      </c>
      <c r="C16" s="5">
        <v>10</v>
      </c>
      <c r="D16" s="5" t="s">
        <v>4733</v>
      </c>
      <c r="E16" s="3" t="s">
        <v>3413</v>
      </c>
      <c r="F16" s="3">
        <v>17301</v>
      </c>
      <c r="G16" s="14">
        <v>44747.459027777775</v>
      </c>
      <c r="H16" s="14">
        <v>45156.529861111114</v>
      </c>
      <c r="I16" s="3" t="s">
        <v>2164</v>
      </c>
      <c r="J16" s="3" t="s">
        <v>111</v>
      </c>
      <c r="K16" s="3" t="s">
        <v>111</v>
      </c>
      <c r="L16" s="3" t="s">
        <v>111</v>
      </c>
      <c r="M16" s="3" t="s">
        <v>112</v>
      </c>
      <c r="N16" s="3" t="s">
        <v>2165</v>
      </c>
      <c r="O16" s="3" t="s">
        <v>2166</v>
      </c>
      <c r="P16" s="3">
        <v>36</v>
      </c>
      <c r="Q16" s="3" t="s">
        <v>2167</v>
      </c>
      <c r="R16" s="3" t="s">
        <v>114</v>
      </c>
      <c r="S16" s="3" t="s">
        <v>115</v>
      </c>
      <c r="T16" s="3" t="s">
        <v>116</v>
      </c>
      <c r="U16" s="3" t="s">
        <v>117</v>
      </c>
      <c r="V16" s="3" t="s">
        <v>118</v>
      </c>
      <c r="W16" s="7" t="s">
        <v>2222</v>
      </c>
      <c r="X16" s="3" t="s">
        <v>1506</v>
      </c>
      <c r="Y16" s="7" t="s">
        <v>2223</v>
      </c>
      <c r="Z16" s="3" t="s">
        <v>2224</v>
      </c>
      <c r="AA16" s="3" t="s">
        <v>2225</v>
      </c>
      <c r="AB16" s="3" t="s">
        <v>2226</v>
      </c>
      <c r="AC16" s="3" t="s">
        <v>2173</v>
      </c>
      <c r="AD16" s="3" t="s">
        <v>2227</v>
      </c>
      <c r="AE16" s="3" t="s">
        <v>863</v>
      </c>
      <c r="AF16" s="3" t="s">
        <v>2050</v>
      </c>
      <c r="AG16" s="3" t="s">
        <v>2005</v>
      </c>
      <c r="AH16" s="3">
        <v>411.08280000000002</v>
      </c>
      <c r="AI16" s="3" t="s">
        <v>2228</v>
      </c>
      <c r="AJ16" s="3" t="s">
        <v>113</v>
      </c>
      <c r="AK16" s="3" t="s">
        <v>113</v>
      </c>
      <c r="AL16" s="3" t="s">
        <v>113</v>
      </c>
      <c r="AM16" s="3" t="s">
        <v>131</v>
      </c>
      <c r="AN16" s="3" t="s">
        <v>3390</v>
      </c>
      <c r="AO16" s="3" t="s">
        <v>3413</v>
      </c>
      <c r="AP16" s="7" t="s">
        <v>2229</v>
      </c>
      <c r="AQ16" s="7">
        <f t="shared" si="2"/>
        <v>0.46129999999999999</v>
      </c>
      <c r="AR16" s="3" t="s">
        <v>2230</v>
      </c>
      <c r="AS16" s="10" t="s">
        <v>2231</v>
      </c>
      <c r="AT16" s="11">
        <f t="shared" si="3"/>
        <v>0.36549999999999999</v>
      </c>
      <c r="AU16" s="3" t="s">
        <v>2232</v>
      </c>
      <c r="AV16" s="12"/>
      <c r="AW16" s="3" t="s">
        <v>2233</v>
      </c>
      <c r="AX16" s="3" t="s">
        <v>2234</v>
      </c>
      <c r="AY16" s="3" t="s">
        <v>2235</v>
      </c>
      <c r="AZ16" s="3" t="s">
        <v>2236</v>
      </c>
      <c r="BA16" s="3" t="s">
        <v>2237</v>
      </c>
      <c r="BB16" s="3" t="s">
        <v>2238</v>
      </c>
      <c r="BC16" s="3" t="s">
        <v>2239</v>
      </c>
      <c r="BD16" s="3" t="s">
        <v>2240</v>
      </c>
      <c r="BE16" s="3" t="s">
        <v>1341</v>
      </c>
      <c r="BF16" s="3" t="s">
        <v>2241</v>
      </c>
      <c r="BG16" s="3" t="s">
        <v>2242</v>
      </c>
      <c r="BH16" s="3" t="s">
        <v>2243</v>
      </c>
      <c r="BI16" s="3" t="s">
        <v>2244</v>
      </c>
      <c r="BJ16" s="3" t="s">
        <v>2245</v>
      </c>
      <c r="BK16" s="3" t="s">
        <v>2246</v>
      </c>
      <c r="BL16" s="3" t="s">
        <v>1690</v>
      </c>
      <c r="BM16" s="3" t="s">
        <v>2247</v>
      </c>
      <c r="BN16" s="3" t="s">
        <v>152</v>
      </c>
      <c r="BO16" s="3" t="s">
        <v>152</v>
      </c>
      <c r="BP16" s="3" t="s">
        <v>152</v>
      </c>
      <c r="BQ16" s="3">
        <v>160</v>
      </c>
      <c r="BR16" s="3">
        <v>220</v>
      </c>
      <c r="BS16" s="3">
        <v>75</v>
      </c>
      <c r="BT16" s="3">
        <v>468</v>
      </c>
      <c r="BU16" s="3">
        <v>313</v>
      </c>
      <c r="BV16" s="3">
        <v>625</v>
      </c>
      <c r="BW16" s="3">
        <v>1126</v>
      </c>
      <c r="BX16" s="3" t="s">
        <v>153</v>
      </c>
      <c r="BY16" s="3" t="s">
        <v>153</v>
      </c>
      <c r="BZ16" s="3">
        <v>0</v>
      </c>
      <c r="CA16" s="3" t="s">
        <v>2171</v>
      </c>
      <c r="CB16" s="3" t="s">
        <v>111</v>
      </c>
      <c r="CC16" s="3" t="s">
        <v>2171</v>
      </c>
      <c r="CD16" s="3" t="s">
        <v>111</v>
      </c>
      <c r="CE16" s="3">
        <v>5022</v>
      </c>
    </row>
    <row r="17" spans="1:83" s="3" customFormat="1" x14ac:dyDescent="0.2">
      <c r="A17" s="3" t="s">
        <v>3391</v>
      </c>
      <c r="B17" s="5" t="s">
        <v>4727</v>
      </c>
      <c r="C17" s="5">
        <v>12</v>
      </c>
      <c r="D17" s="5" t="s">
        <v>4733</v>
      </c>
      <c r="E17" s="3" t="s">
        <v>3413</v>
      </c>
      <c r="F17" s="3">
        <v>17301</v>
      </c>
      <c r="G17" s="14">
        <v>44747.459027777775</v>
      </c>
      <c r="H17" s="14">
        <v>45156.533333333333</v>
      </c>
      <c r="I17" s="3" t="s">
        <v>2164</v>
      </c>
      <c r="J17" s="3" t="s">
        <v>111</v>
      </c>
      <c r="K17" s="3" t="s">
        <v>111</v>
      </c>
      <c r="L17" s="3" t="s">
        <v>111</v>
      </c>
      <c r="M17" s="3" t="s">
        <v>112</v>
      </c>
      <c r="N17" s="3" t="s">
        <v>2165</v>
      </c>
      <c r="O17" s="3" t="s">
        <v>2166</v>
      </c>
      <c r="P17" s="3">
        <v>36</v>
      </c>
      <c r="Q17" s="3" t="s">
        <v>2167</v>
      </c>
      <c r="R17" s="3" t="s">
        <v>114</v>
      </c>
      <c r="S17" s="3" t="s">
        <v>115</v>
      </c>
      <c r="T17" s="3" t="s">
        <v>116</v>
      </c>
      <c r="U17" s="3" t="s">
        <v>117</v>
      </c>
      <c r="V17" s="3" t="s">
        <v>118</v>
      </c>
      <c r="W17" s="7" t="s">
        <v>2248</v>
      </c>
      <c r="X17" s="3" t="s">
        <v>2249</v>
      </c>
      <c r="Y17" s="7" t="s">
        <v>2250</v>
      </c>
      <c r="Z17" s="3" t="s">
        <v>2251</v>
      </c>
      <c r="AA17" s="3" t="s">
        <v>2252</v>
      </c>
      <c r="AB17" s="3" t="s">
        <v>2253</v>
      </c>
      <c r="AC17" s="3" t="s">
        <v>2254</v>
      </c>
      <c r="AD17" s="3" t="s">
        <v>2255</v>
      </c>
      <c r="AE17" s="3" t="s">
        <v>510</v>
      </c>
      <c r="AF17" s="3" t="s">
        <v>2256</v>
      </c>
      <c r="AG17" s="3" t="s">
        <v>2003</v>
      </c>
      <c r="AH17" s="3">
        <v>333.16230000000002</v>
      </c>
      <c r="AI17" s="3" t="s">
        <v>2257</v>
      </c>
      <c r="AJ17" s="3" t="s">
        <v>113</v>
      </c>
      <c r="AK17" s="3" t="s">
        <v>113</v>
      </c>
      <c r="AL17" s="3" t="s">
        <v>113</v>
      </c>
      <c r="AM17" s="3" t="s">
        <v>131</v>
      </c>
      <c r="AN17" s="3" t="s">
        <v>3391</v>
      </c>
      <c r="AO17" s="3" t="s">
        <v>3413</v>
      </c>
      <c r="AP17" s="7" t="s">
        <v>2258</v>
      </c>
      <c r="AQ17" s="7">
        <f t="shared" si="2"/>
        <v>0.3674</v>
      </c>
      <c r="AR17" s="3" t="s">
        <v>2259</v>
      </c>
      <c r="AS17" s="10" t="s">
        <v>608</v>
      </c>
      <c r="AT17" s="11">
        <f t="shared" si="3"/>
        <v>0.2616</v>
      </c>
      <c r="AU17" s="3" t="s">
        <v>2260</v>
      </c>
      <c r="AV17" s="12"/>
      <c r="AW17" s="3" t="s">
        <v>2261</v>
      </c>
      <c r="AX17" s="3" t="s">
        <v>2262</v>
      </c>
      <c r="AY17" s="3" t="s">
        <v>2263</v>
      </c>
      <c r="AZ17" s="3" t="s">
        <v>2264</v>
      </c>
      <c r="BA17" s="3" t="s">
        <v>2265</v>
      </c>
      <c r="BB17" s="3" t="s">
        <v>2266</v>
      </c>
      <c r="BC17" s="3" t="s">
        <v>2267</v>
      </c>
      <c r="BD17" s="3" t="s">
        <v>2268</v>
      </c>
      <c r="BE17" s="3" t="s">
        <v>2269</v>
      </c>
      <c r="BF17" s="3" t="s">
        <v>2208</v>
      </c>
      <c r="BG17" s="3" t="s">
        <v>1913</v>
      </c>
      <c r="BH17" s="3" t="s">
        <v>260</v>
      </c>
      <c r="BI17" s="3" t="s">
        <v>2270</v>
      </c>
      <c r="BJ17" s="3" t="s">
        <v>2182</v>
      </c>
      <c r="BK17" s="3" t="s">
        <v>2271</v>
      </c>
      <c r="BL17" s="3" t="s">
        <v>2272</v>
      </c>
      <c r="BM17" s="3" t="s">
        <v>2273</v>
      </c>
      <c r="BN17" s="3" t="s">
        <v>152</v>
      </c>
      <c r="BO17" s="3" t="s">
        <v>152</v>
      </c>
      <c r="BP17" s="3" t="s">
        <v>152</v>
      </c>
      <c r="BQ17" s="3">
        <v>160</v>
      </c>
      <c r="BR17" s="3">
        <v>168</v>
      </c>
      <c r="BS17" s="3">
        <v>72</v>
      </c>
      <c r="BT17" s="3">
        <v>987</v>
      </c>
      <c r="BU17" s="3">
        <v>230</v>
      </c>
      <c r="BV17" s="3">
        <v>868</v>
      </c>
      <c r="BW17" s="3">
        <v>1126</v>
      </c>
      <c r="BX17" s="3" t="s">
        <v>153</v>
      </c>
      <c r="BY17" s="3" t="s">
        <v>153</v>
      </c>
      <c r="BZ17" s="3">
        <v>0</v>
      </c>
      <c r="CA17" s="3" t="s">
        <v>2171</v>
      </c>
      <c r="CB17" s="3" t="s">
        <v>111</v>
      </c>
      <c r="CC17" s="3" t="s">
        <v>2171</v>
      </c>
      <c r="CD17" s="3" t="s">
        <v>111</v>
      </c>
      <c r="CE17" s="3">
        <v>5022</v>
      </c>
    </row>
    <row r="18" spans="1:83" s="3" customFormat="1" x14ac:dyDescent="0.2">
      <c r="A18" s="3" t="s">
        <v>3392</v>
      </c>
      <c r="B18" s="5" t="s">
        <v>4726</v>
      </c>
      <c r="C18" s="5">
        <v>12</v>
      </c>
      <c r="D18" s="5" t="s">
        <v>4733</v>
      </c>
      <c r="E18" s="3" t="s">
        <v>3413</v>
      </c>
      <c r="F18" s="3">
        <v>17301</v>
      </c>
      <c r="G18" s="14">
        <v>44747.459027777775</v>
      </c>
      <c r="H18" s="14">
        <v>45156.535416666666</v>
      </c>
      <c r="I18" s="3" t="s">
        <v>2164</v>
      </c>
      <c r="J18" s="3" t="s">
        <v>111</v>
      </c>
      <c r="K18" s="3" t="s">
        <v>111</v>
      </c>
      <c r="L18" s="3" t="s">
        <v>111</v>
      </c>
      <c r="M18" s="3" t="s">
        <v>112</v>
      </c>
      <c r="N18" s="3" t="s">
        <v>2165</v>
      </c>
      <c r="O18" s="3" t="s">
        <v>2166</v>
      </c>
      <c r="P18" s="3">
        <v>36</v>
      </c>
      <c r="Q18" s="3" t="s">
        <v>2167</v>
      </c>
      <c r="R18" s="3" t="s">
        <v>114</v>
      </c>
      <c r="S18" s="3" t="s">
        <v>115</v>
      </c>
      <c r="T18" s="3" t="s">
        <v>116</v>
      </c>
      <c r="U18" s="3" t="s">
        <v>117</v>
      </c>
      <c r="V18" s="3" t="s">
        <v>118</v>
      </c>
      <c r="W18" s="7" t="s">
        <v>2274</v>
      </c>
      <c r="X18" s="3" t="s">
        <v>2275</v>
      </c>
      <c r="Y18" s="7" t="s">
        <v>2276</v>
      </c>
      <c r="Z18" s="3" t="s">
        <v>2277</v>
      </c>
      <c r="AA18" s="3" t="s">
        <v>2278</v>
      </c>
      <c r="AB18" s="3" t="s">
        <v>2279</v>
      </c>
      <c r="AC18" s="3" t="s">
        <v>2280</v>
      </c>
      <c r="AD18" s="3" t="s">
        <v>2281</v>
      </c>
      <c r="AE18" s="3" t="s">
        <v>2073</v>
      </c>
      <c r="AF18" s="3" t="s">
        <v>460</v>
      </c>
      <c r="AG18" s="3" t="s">
        <v>2282</v>
      </c>
      <c r="AH18" s="3">
        <v>246.15600000000001</v>
      </c>
      <c r="AI18" s="3" t="s">
        <v>2283</v>
      </c>
      <c r="AJ18" s="3" t="s">
        <v>113</v>
      </c>
      <c r="AK18" s="3" t="s">
        <v>113</v>
      </c>
      <c r="AL18" s="3" t="s">
        <v>113</v>
      </c>
      <c r="AM18" s="3" t="s">
        <v>131</v>
      </c>
      <c r="AN18" s="3" t="s">
        <v>3392</v>
      </c>
      <c r="AO18" s="3" t="s">
        <v>3413</v>
      </c>
      <c r="AP18" s="7" t="s">
        <v>2284</v>
      </c>
      <c r="AQ18" s="7">
        <f t="shared" si="2"/>
        <v>0.24979999999999999</v>
      </c>
      <c r="AR18" s="3" t="s">
        <v>1073</v>
      </c>
      <c r="AS18" s="10" t="s">
        <v>2285</v>
      </c>
      <c r="AT18" s="11">
        <f t="shared" si="3"/>
        <v>0.16</v>
      </c>
      <c r="AU18" s="3" t="s">
        <v>2286</v>
      </c>
      <c r="AV18" s="12"/>
      <c r="AW18" s="3" t="s">
        <v>2287</v>
      </c>
      <c r="AX18" s="3" t="s">
        <v>2288</v>
      </c>
      <c r="AY18" s="3" t="s">
        <v>2289</v>
      </c>
      <c r="AZ18" s="3" t="s">
        <v>2290</v>
      </c>
      <c r="BA18" s="3" t="s">
        <v>2291</v>
      </c>
      <c r="BB18" s="3" t="s">
        <v>2292</v>
      </c>
      <c r="BC18" s="3" t="s">
        <v>2293</v>
      </c>
      <c r="BD18" s="3" t="s">
        <v>2294</v>
      </c>
      <c r="BE18" s="3" t="s">
        <v>2295</v>
      </c>
      <c r="BF18" s="3" t="s">
        <v>2296</v>
      </c>
      <c r="BG18" s="3" t="s">
        <v>1980</v>
      </c>
      <c r="BH18" s="3" t="s">
        <v>2297</v>
      </c>
      <c r="BI18" s="3" t="s">
        <v>2298</v>
      </c>
      <c r="BJ18" s="3" t="s">
        <v>2194</v>
      </c>
      <c r="BK18" s="3" t="s">
        <v>1885</v>
      </c>
      <c r="BL18" s="3" t="s">
        <v>2299</v>
      </c>
      <c r="BM18" s="3" t="s">
        <v>2300</v>
      </c>
      <c r="BN18" s="3" t="s">
        <v>152</v>
      </c>
      <c r="BO18" s="3" t="s">
        <v>152</v>
      </c>
      <c r="BP18" s="3" t="s">
        <v>152</v>
      </c>
      <c r="BQ18" s="3">
        <v>152</v>
      </c>
      <c r="BR18" s="3">
        <v>188</v>
      </c>
      <c r="BS18" s="3">
        <v>61</v>
      </c>
      <c r="BT18" s="3">
        <v>1305</v>
      </c>
      <c r="BU18" s="3">
        <v>465</v>
      </c>
      <c r="BV18" s="3">
        <v>569</v>
      </c>
      <c r="BW18" s="3">
        <v>1126</v>
      </c>
      <c r="BX18" s="3" t="s">
        <v>153</v>
      </c>
      <c r="BY18" s="3" t="s">
        <v>153</v>
      </c>
      <c r="BZ18" s="3">
        <v>0</v>
      </c>
      <c r="CA18" s="3" t="s">
        <v>2171</v>
      </c>
      <c r="CB18" s="3" t="s">
        <v>111</v>
      </c>
      <c r="CC18" s="3" t="s">
        <v>2171</v>
      </c>
      <c r="CD18" s="3" t="s">
        <v>111</v>
      </c>
      <c r="CE18" s="3">
        <v>5022</v>
      </c>
    </row>
    <row r="19" spans="1:83" s="3" customFormat="1" x14ac:dyDescent="0.2">
      <c r="A19" s="3" t="s">
        <v>3393</v>
      </c>
      <c r="B19" s="5" t="s">
        <v>4726</v>
      </c>
      <c r="C19" s="5">
        <v>12</v>
      </c>
      <c r="D19" s="5" t="s">
        <v>4733</v>
      </c>
      <c r="E19" s="3" t="s">
        <v>3413</v>
      </c>
      <c r="F19" s="3">
        <v>17301</v>
      </c>
      <c r="G19" s="14">
        <v>44747.459027777775</v>
      </c>
      <c r="H19" s="14">
        <v>45156.538888888892</v>
      </c>
      <c r="I19" s="3" t="s">
        <v>2164</v>
      </c>
      <c r="J19" s="3" t="s">
        <v>111</v>
      </c>
      <c r="K19" s="3" t="s">
        <v>111</v>
      </c>
      <c r="L19" s="3" t="s">
        <v>111</v>
      </c>
      <c r="M19" s="3" t="s">
        <v>112</v>
      </c>
      <c r="N19" s="3" t="s">
        <v>2165</v>
      </c>
      <c r="O19" s="3" t="s">
        <v>2166</v>
      </c>
      <c r="P19" s="3">
        <v>36</v>
      </c>
      <c r="Q19" s="3" t="s">
        <v>2167</v>
      </c>
      <c r="R19" s="3" t="s">
        <v>114</v>
      </c>
      <c r="S19" s="3" t="s">
        <v>115</v>
      </c>
      <c r="T19" s="3" t="s">
        <v>116</v>
      </c>
      <c r="U19" s="3" t="s">
        <v>117</v>
      </c>
      <c r="V19" s="3" t="s">
        <v>118</v>
      </c>
      <c r="W19" s="7" t="s">
        <v>2301</v>
      </c>
      <c r="X19" s="3" t="s">
        <v>2302</v>
      </c>
      <c r="Y19" s="7" t="s">
        <v>2303</v>
      </c>
      <c r="Z19" s="3" t="s">
        <v>2304</v>
      </c>
      <c r="AA19" s="3" t="s">
        <v>2305</v>
      </c>
      <c r="AB19" s="3" t="s">
        <v>2306</v>
      </c>
      <c r="AC19" s="3" t="s">
        <v>1721</v>
      </c>
      <c r="AD19" s="3" t="s">
        <v>2307</v>
      </c>
      <c r="AE19" s="3" t="s">
        <v>2308</v>
      </c>
      <c r="AF19" s="3" t="s">
        <v>2309</v>
      </c>
      <c r="AG19" s="3" t="s">
        <v>2310</v>
      </c>
      <c r="AH19" s="3">
        <v>401.41539999999998</v>
      </c>
      <c r="AI19" s="3" t="s">
        <v>2311</v>
      </c>
      <c r="AJ19" s="3" t="s">
        <v>113</v>
      </c>
      <c r="AK19" s="3" t="s">
        <v>113</v>
      </c>
      <c r="AL19" s="3" t="s">
        <v>113</v>
      </c>
      <c r="AM19" s="3" t="s">
        <v>131</v>
      </c>
      <c r="AN19" s="3" t="s">
        <v>3393</v>
      </c>
      <c r="AO19" s="3" t="s">
        <v>3413</v>
      </c>
      <c r="AP19" s="7" t="s">
        <v>2312</v>
      </c>
      <c r="AQ19" s="7">
        <f t="shared" si="2"/>
        <v>0.45750000000000002</v>
      </c>
      <c r="AR19" s="3" t="s">
        <v>2313</v>
      </c>
      <c r="AS19" s="10" t="s">
        <v>2314</v>
      </c>
      <c r="AT19" s="11">
        <f t="shared" si="3"/>
        <v>0.35830000000000001</v>
      </c>
      <c r="AU19" s="3" t="s">
        <v>2315</v>
      </c>
      <c r="AV19" s="12"/>
      <c r="AW19" s="3" t="s">
        <v>2316</v>
      </c>
      <c r="AX19" s="3" t="s">
        <v>2317</v>
      </c>
      <c r="AY19" s="3" t="s">
        <v>1155</v>
      </c>
      <c r="AZ19" s="3" t="s">
        <v>2318</v>
      </c>
      <c r="BA19" s="3" t="s">
        <v>2319</v>
      </c>
      <c r="BB19" s="3" t="s">
        <v>1589</v>
      </c>
      <c r="BC19" s="3" t="s">
        <v>2320</v>
      </c>
      <c r="BD19" s="3" t="s">
        <v>2088</v>
      </c>
      <c r="BE19" s="3" t="s">
        <v>723</v>
      </c>
      <c r="BF19" s="3" t="s">
        <v>2321</v>
      </c>
      <c r="BG19" s="3" t="s">
        <v>2322</v>
      </c>
      <c r="BH19" s="3" t="s">
        <v>1913</v>
      </c>
      <c r="BI19" s="3" t="s">
        <v>1689</v>
      </c>
      <c r="BJ19" s="3" t="s">
        <v>2323</v>
      </c>
      <c r="BK19" s="3" t="s">
        <v>607</v>
      </c>
      <c r="BL19" s="3" t="s">
        <v>2324</v>
      </c>
      <c r="BM19" s="3" t="s">
        <v>2325</v>
      </c>
      <c r="BN19" s="3" t="s">
        <v>152</v>
      </c>
      <c r="BO19" s="3" t="s">
        <v>152</v>
      </c>
      <c r="BP19" s="3" t="s">
        <v>152</v>
      </c>
      <c r="BQ19" s="3">
        <v>192</v>
      </c>
      <c r="BR19" s="3">
        <v>160</v>
      </c>
      <c r="BS19" s="3">
        <v>90</v>
      </c>
      <c r="BT19" s="3">
        <v>1484</v>
      </c>
      <c r="BU19" s="3">
        <v>1228</v>
      </c>
      <c r="BV19" s="3">
        <v>411</v>
      </c>
      <c r="BW19" s="3">
        <v>1126</v>
      </c>
      <c r="BX19" s="3" t="s">
        <v>153</v>
      </c>
      <c r="BY19" s="3" t="s">
        <v>153</v>
      </c>
      <c r="BZ19" s="3">
        <v>0</v>
      </c>
      <c r="CA19" s="3" t="s">
        <v>2171</v>
      </c>
      <c r="CB19" s="3" t="s">
        <v>111</v>
      </c>
      <c r="CC19" s="3" t="s">
        <v>2171</v>
      </c>
      <c r="CD19" s="3" t="s">
        <v>111</v>
      </c>
      <c r="CE19" s="3">
        <v>5022</v>
      </c>
    </row>
    <row r="20" spans="1:83" s="3" customFormat="1" x14ac:dyDescent="0.2">
      <c r="A20" s="3" t="s">
        <v>3394</v>
      </c>
      <c r="B20" s="5" t="s">
        <v>4726</v>
      </c>
      <c r="C20" s="5">
        <v>12</v>
      </c>
      <c r="D20" s="5" t="s">
        <v>4733</v>
      </c>
      <c r="E20" s="3" t="s">
        <v>3413</v>
      </c>
      <c r="F20" s="3">
        <v>17301</v>
      </c>
      <c r="G20" s="14">
        <v>44747.459027777775</v>
      </c>
      <c r="H20" s="14">
        <v>45156.54583333333</v>
      </c>
      <c r="I20" s="3" t="s">
        <v>2164</v>
      </c>
      <c r="J20" s="3" t="s">
        <v>111</v>
      </c>
      <c r="K20" s="3" t="s">
        <v>111</v>
      </c>
      <c r="L20" s="3" t="s">
        <v>111</v>
      </c>
      <c r="M20" s="3" t="s">
        <v>112</v>
      </c>
      <c r="N20" s="3" t="s">
        <v>2165</v>
      </c>
      <c r="O20" s="3" t="s">
        <v>2166</v>
      </c>
      <c r="P20" s="3">
        <v>36</v>
      </c>
      <c r="Q20" s="3" t="s">
        <v>2167</v>
      </c>
      <c r="R20" s="3" t="s">
        <v>114</v>
      </c>
      <c r="S20" s="3" t="s">
        <v>115</v>
      </c>
      <c r="T20" s="3" t="s">
        <v>116</v>
      </c>
      <c r="U20" s="3" t="s">
        <v>117</v>
      </c>
      <c r="V20" s="3" t="s">
        <v>118</v>
      </c>
      <c r="W20" s="7" t="s">
        <v>2326</v>
      </c>
      <c r="X20" s="3" t="s">
        <v>2327</v>
      </c>
      <c r="Y20" s="7" t="s">
        <v>1116</v>
      </c>
      <c r="Z20" s="3" t="s">
        <v>2328</v>
      </c>
      <c r="AA20" s="3" t="s">
        <v>2329</v>
      </c>
      <c r="AB20" s="3" t="s">
        <v>2330</v>
      </c>
      <c r="AC20" s="3" t="s">
        <v>1495</v>
      </c>
      <c r="AD20" s="3" t="s">
        <v>2331</v>
      </c>
      <c r="AE20" s="3" t="s">
        <v>474</v>
      </c>
      <c r="AF20" s="3" t="s">
        <v>2332</v>
      </c>
      <c r="AG20" s="3" t="s">
        <v>2333</v>
      </c>
      <c r="AH20" s="3">
        <v>245.35640000000001</v>
      </c>
      <c r="AI20" s="3" t="s">
        <v>2334</v>
      </c>
      <c r="AJ20" s="3" t="s">
        <v>113</v>
      </c>
      <c r="AK20" s="3" t="s">
        <v>113</v>
      </c>
      <c r="AL20" s="3" t="s">
        <v>113</v>
      </c>
      <c r="AM20" s="3" t="s">
        <v>131</v>
      </c>
      <c r="AN20" s="3" t="s">
        <v>3394</v>
      </c>
      <c r="AO20" s="3" t="s">
        <v>3413</v>
      </c>
      <c r="AP20" s="7" t="s">
        <v>2335</v>
      </c>
      <c r="AQ20" s="7">
        <f t="shared" si="2"/>
        <v>0.41199999999999998</v>
      </c>
      <c r="AR20" s="3" t="s">
        <v>1262</v>
      </c>
      <c r="AS20" s="10" t="s">
        <v>403</v>
      </c>
      <c r="AT20" s="11">
        <f t="shared" si="3"/>
        <v>0.1678</v>
      </c>
      <c r="AU20" s="3" t="s">
        <v>2336</v>
      </c>
      <c r="AV20" s="12"/>
      <c r="AW20" s="3" t="s">
        <v>2337</v>
      </c>
      <c r="AX20" s="3" t="s">
        <v>2338</v>
      </c>
      <c r="AY20" s="3" t="s">
        <v>2339</v>
      </c>
      <c r="AZ20" s="3" t="s">
        <v>2340</v>
      </c>
      <c r="BA20" s="3" t="s">
        <v>2341</v>
      </c>
      <c r="BB20" s="3" t="s">
        <v>2342</v>
      </c>
      <c r="BC20" s="3" t="s">
        <v>2343</v>
      </c>
      <c r="BD20" s="3" t="s">
        <v>2344</v>
      </c>
      <c r="BE20" s="3" t="s">
        <v>2345</v>
      </c>
      <c r="BF20" s="3" t="s">
        <v>2346</v>
      </c>
      <c r="BG20" s="3" t="s">
        <v>2347</v>
      </c>
      <c r="BH20" s="3" t="s">
        <v>2348</v>
      </c>
      <c r="BI20" s="3" t="s">
        <v>2349</v>
      </c>
      <c r="BJ20" s="3" t="s">
        <v>912</v>
      </c>
      <c r="BK20" s="3" t="s">
        <v>2350</v>
      </c>
      <c r="BL20" s="3" t="s">
        <v>2351</v>
      </c>
      <c r="BM20" s="3" t="s">
        <v>2352</v>
      </c>
      <c r="BN20" s="3" t="s">
        <v>152</v>
      </c>
      <c r="BO20" s="3" t="s">
        <v>152</v>
      </c>
      <c r="BP20" s="3" t="s">
        <v>152</v>
      </c>
      <c r="BQ20" s="3">
        <v>180</v>
      </c>
      <c r="BR20" s="3">
        <v>168</v>
      </c>
      <c r="BS20" s="3">
        <v>64</v>
      </c>
      <c r="BT20" s="3">
        <v>1141</v>
      </c>
      <c r="BU20" s="3">
        <v>1592</v>
      </c>
      <c r="BV20" s="3">
        <v>486</v>
      </c>
      <c r="BW20" s="3">
        <v>1126</v>
      </c>
      <c r="BX20" s="3" t="s">
        <v>153</v>
      </c>
      <c r="BY20" s="3" t="s">
        <v>153</v>
      </c>
      <c r="BZ20" s="3">
        <v>0</v>
      </c>
      <c r="CA20" s="3" t="s">
        <v>2171</v>
      </c>
      <c r="CB20" s="3" t="s">
        <v>111</v>
      </c>
      <c r="CC20" s="3" t="s">
        <v>2171</v>
      </c>
      <c r="CD20" s="3" t="s">
        <v>111</v>
      </c>
      <c r="CE20" s="3">
        <v>5022</v>
      </c>
    </row>
    <row r="21" spans="1:83" s="3" customFormat="1" x14ac:dyDescent="0.2">
      <c r="D21" s="5"/>
      <c r="G21" s="14"/>
      <c r="H21" s="14"/>
      <c r="W21" s="7"/>
      <c r="Y21" s="7"/>
      <c r="AP21" s="7"/>
      <c r="AQ21" s="7"/>
      <c r="AS21" s="10"/>
      <c r="AT21" s="11"/>
      <c r="AV21" s="12"/>
    </row>
    <row r="22" spans="1:83" s="3" customFormat="1" x14ac:dyDescent="0.2">
      <c r="D22" s="5"/>
      <c r="G22" s="14"/>
      <c r="H22" s="14"/>
      <c r="W22" s="7"/>
      <c r="Y22" s="7"/>
      <c r="AO22" s="3" t="s">
        <v>4721</v>
      </c>
      <c r="AP22" s="7"/>
      <c r="AQ22" s="7">
        <f>_xlfn.T.TEST(AQ15:AQ20,AQ5:AQ13,2,3)</f>
        <v>9.5318085302542557E-2</v>
      </c>
      <c r="AS22" s="10"/>
      <c r="AT22" s="7">
        <f>_xlfn.T.TEST(AT15:AT20,AT5:AT13,2,3)</f>
        <v>0.51642759362211743</v>
      </c>
      <c r="AV22" s="12"/>
    </row>
    <row r="23" spans="1:83" s="3" customFormat="1" ht="16" x14ac:dyDescent="0.2">
      <c r="B23" s="4"/>
      <c r="C23" s="4"/>
      <c r="D23" s="5"/>
      <c r="W23" s="7"/>
      <c r="Y23" s="7"/>
      <c r="AP23" s="7"/>
      <c r="AQ23" s="7"/>
      <c r="AS23" s="10"/>
      <c r="AT23" s="11"/>
      <c r="AV23" s="12"/>
    </row>
    <row r="24" spans="1:83" s="3" customFormat="1" ht="16" x14ac:dyDescent="0.2">
      <c r="A24" s="3" t="s">
        <v>3355</v>
      </c>
      <c r="B24" s="4" t="s">
        <v>4726</v>
      </c>
      <c r="C24" s="4">
        <v>12</v>
      </c>
      <c r="D24" s="5" t="s">
        <v>4734</v>
      </c>
      <c r="E24" s="3" t="s">
        <v>3413</v>
      </c>
      <c r="F24" s="3">
        <v>18033</v>
      </c>
      <c r="G24" s="14">
        <v>45155.804861111108</v>
      </c>
      <c r="H24" s="14">
        <v>45161.832638888889</v>
      </c>
      <c r="I24" s="3" t="s">
        <v>110</v>
      </c>
      <c r="J24" s="3" t="s">
        <v>111</v>
      </c>
      <c r="K24" s="3" t="s">
        <v>111</v>
      </c>
      <c r="L24" s="3" t="s">
        <v>111</v>
      </c>
      <c r="M24" s="3" t="s">
        <v>112</v>
      </c>
      <c r="N24" s="3" t="s">
        <v>113</v>
      </c>
      <c r="O24" s="3" t="s">
        <v>113</v>
      </c>
      <c r="P24" s="3">
        <v>0</v>
      </c>
      <c r="Q24" s="3" t="s">
        <v>113</v>
      </c>
      <c r="R24" s="3" t="s">
        <v>114</v>
      </c>
      <c r="S24" s="3" t="s">
        <v>115</v>
      </c>
      <c r="T24" s="3" t="s">
        <v>116</v>
      </c>
      <c r="U24" s="3" t="s">
        <v>117</v>
      </c>
      <c r="V24" s="3" t="s">
        <v>118</v>
      </c>
      <c r="W24" s="7" t="s">
        <v>119</v>
      </c>
      <c r="X24" s="3" t="s">
        <v>120</v>
      </c>
      <c r="Y24" s="7" t="s">
        <v>121</v>
      </c>
      <c r="Z24" s="3" t="s">
        <v>122</v>
      </c>
      <c r="AA24" s="3" t="s">
        <v>123</v>
      </c>
      <c r="AB24" s="3" t="s">
        <v>124</v>
      </c>
      <c r="AC24" s="3" t="s">
        <v>125</v>
      </c>
      <c r="AD24" s="3" t="s">
        <v>126</v>
      </c>
      <c r="AE24" s="3" t="s">
        <v>127</v>
      </c>
      <c r="AF24" s="3" t="s">
        <v>128</v>
      </c>
      <c r="AG24" s="3" t="s">
        <v>129</v>
      </c>
      <c r="AH24" s="3">
        <v>180.22880000000001</v>
      </c>
      <c r="AI24" s="3" t="s">
        <v>130</v>
      </c>
      <c r="AJ24" s="3" t="s">
        <v>113</v>
      </c>
      <c r="AK24" s="3" t="s">
        <v>113</v>
      </c>
      <c r="AL24" s="3" t="s">
        <v>113</v>
      </c>
      <c r="AM24" s="3" t="s">
        <v>131</v>
      </c>
      <c r="AN24" s="3" t="s">
        <v>3355</v>
      </c>
      <c r="AO24" s="3" t="s">
        <v>3413</v>
      </c>
      <c r="AP24" s="7">
        <v>0.3579</v>
      </c>
      <c r="AQ24" s="7">
        <v>0.3579</v>
      </c>
      <c r="AR24" s="3" t="s">
        <v>132</v>
      </c>
      <c r="AS24" s="10">
        <v>0.1132</v>
      </c>
      <c r="AT24" s="11">
        <v>0.10059999999999999</v>
      </c>
      <c r="AU24" s="3" t="s">
        <v>134</v>
      </c>
      <c r="AV24" s="12"/>
      <c r="AW24" s="3" t="s">
        <v>135</v>
      </c>
      <c r="AX24" s="3" t="s">
        <v>136</v>
      </c>
      <c r="AY24" s="3" t="s">
        <v>137</v>
      </c>
      <c r="AZ24" s="3" t="s">
        <v>138</v>
      </c>
      <c r="BA24" s="3" t="s">
        <v>139</v>
      </c>
      <c r="BB24" s="3" t="s">
        <v>140</v>
      </c>
      <c r="BC24" s="3" t="s">
        <v>141</v>
      </c>
      <c r="BD24" s="3" t="s">
        <v>142</v>
      </c>
      <c r="BE24" s="3" t="s">
        <v>143</v>
      </c>
      <c r="BF24" s="3" t="s">
        <v>144</v>
      </c>
      <c r="BG24" s="3" t="s">
        <v>145</v>
      </c>
      <c r="BH24" s="3" t="s">
        <v>146</v>
      </c>
      <c r="BI24" s="3" t="s">
        <v>147</v>
      </c>
      <c r="BJ24" s="3" t="s">
        <v>148</v>
      </c>
      <c r="BK24" s="3" t="s">
        <v>149</v>
      </c>
      <c r="BL24" s="3" t="s">
        <v>150</v>
      </c>
      <c r="BM24" s="3" t="s">
        <v>151</v>
      </c>
      <c r="BN24" s="3" t="s">
        <v>152</v>
      </c>
      <c r="BO24" s="3" t="s">
        <v>152</v>
      </c>
      <c r="BP24" s="3" t="s">
        <v>152</v>
      </c>
      <c r="BQ24" s="3">
        <v>188</v>
      </c>
      <c r="BR24" s="3">
        <v>132</v>
      </c>
      <c r="BS24" s="3">
        <v>81</v>
      </c>
      <c r="BT24" s="3">
        <v>178</v>
      </c>
      <c r="BU24" s="3">
        <v>737</v>
      </c>
      <c r="BV24" s="3">
        <v>699</v>
      </c>
      <c r="BW24" s="3">
        <v>1126</v>
      </c>
      <c r="BX24" s="3" t="s">
        <v>111</v>
      </c>
      <c r="BY24" s="3" t="s">
        <v>153</v>
      </c>
      <c r="BZ24" s="3">
        <v>0</v>
      </c>
      <c r="CA24" s="3" t="s">
        <v>111</v>
      </c>
      <c r="CB24" s="3" t="s">
        <v>111</v>
      </c>
      <c r="CC24" s="3" t="s">
        <v>154</v>
      </c>
      <c r="CD24" s="3" t="s">
        <v>111</v>
      </c>
      <c r="CE24" s="3">
        <v>5022</v>
      </c>
    </row>
    <row r="25" spans="1:83" s="3" customFormat="1" ht="16" x14ac:dyDescent="0.2">
      <c r="A25" s="3" t="s">
        <v>3356</v>
      </c>
      <c r="B25" s="5" t="s">
        <v>4726</v>
      </c>
      <c r="C25" s="4">
        <v>12</v>
      </c>
      <c r="D25" s="5" t="s">
        <v>4734</v>
      </c>
      <c r="E25" s="3" t="s">
        <v>3413</v>
      </c>
      <c r="F25" s="3">
        <v>18034</v>
      </c>
      <c r="G25" s="14">
        <v>45155.808333333334</v>
      </c>
      <c r="H25" s="14">
        <v>45161.843055555553</v>
      </c>
      <c r="I25" s="3" t="s">
        <v>187</v>
      </c>
      <c r="J25" s="3" t="s">
        <v>111</v>
      </c>
      <c r="K25" s="3" t="s">
        <v>111</v>
      </c>
      <c r="L25" s="3" t="s">
        <v>111</v>
      </c>
      <c r="M25" s="3" t="s">
        <v>112</v>
      </c>
      <c r="N25" s="3" t="s">
        <v>113</v>
      </c>
      <c r="O25" s="3" t="s">
        <v>113</v>
      </c>
      <c r="P25" s="3">
        <v>0</v>
      </c>
      <c r="Q25" s="3" t="s">
        <v>113</v>
      </c>
      <c r="R25" s="3" t="s">
        <v>114</v>
      </c>
      <c r="S25" s="3" t="s">
        <v>115</v>
      </c>
      <c r="T25" s="3" t="s">
        <v>116</v>
      </c>
      <c r="U25" s="3" t="s">
        <v>117</v>
      </c>
      <c r="V25" s="3" t="s">
        <v>118</v>
      </c>
      <c r="W25" s="7" t="s">
        <v>188</v>
      </c>
      <c r="X25" s="3" t="s">
        <v>189</v>
      </c>
      <c r="Y25" s="7" t="s">
        <v>190</v>
      </c>
      <c r="Z25" s="3" t="s">
        <v>191</v>
      </c>
      <c r="AA25" s="3" t="s">
        <v>192</v>
      </c>
      <c r="AB25" s="3" t="s">
        <v>193</v>
      </c>
      <c r="AC25" s="3" t="s">
        <v>194</v>
      </c>
      <c r="AD25" s="3" t="s">
        <v>195</v>
      </c>
      <c r="AE25" s="3" t="s">
        <v>196</v>
      </c>
      <c r="AF25" s="3" t="s">
        <v>197</v>
      </c>
      <c r="AG25" s="3" t="s">
        <v>198</v>
      </c>
      <c r="AH25" s="3">
        <v>201.3081</v>
      </c>
      <c r="AI25" s="3" t="s">
        <v>199</v>
      </c>
      <c r="AJ25" s="3" t="s">
        <v>113</v>
      </c>
      <c r="AK25" s="3" t="s">
        <v>113</v>
      </c>
      <c r="AL25" s="3" t="s">
        <v>113</v>
      </c>
      <c r="AM25" s="3" t="s">
        <v>131</v>
      </c>
      <c r="AN25" s="3" t="s">
        <v>3356</v>
      </c>
      <c r="AO25" s="3" t="s">
        <v>3413</v>
      </c>
      <c r="AP25" s="7">
        <v>0.21310000000000001</v>
      </c>
      <c r="AQ25" s="7">
        <f t="shared" ref="AQ25:AQ30" si="4">VALUE(AP25)</f>
        <v>0.21310000000000001</v>
      </c>
      <c r="AR25" s="3" t="s">
        <v>200</v>
      </c>
      <c r="AS25" s="10" t="s">
        <v>201</v>
      </c>
      <c r="AT25" s="11">
        <f t="shared" ref="AT25:AT30" si="5">VALUE(AS25)</f>
        <v>0.10059999999999999</v>
      </c>
      <c r="AU25" s="3" t="s">
        <v>202</v>
      </c>
      <c r="AV25" s="12"/>
      <c r="AW25" s="3" t="s">
        <v>203</v>
      </c>
      <c r="AX25" s="3" t="s">
        <v>204</v>
      </c>
      <c r="AY25" s="3" t="s">
        <v>205</v>
      </c>
      <c r="AZ25" s="3" t="s">
        <v>206</v>
      </c>
      <c r="BA25" s="3" t="s">
        <v>207</v>
      </c>
      <c r="BB25" s="3" t="s">
        <v>208</v>
      </c>
      <c r="BC25" s="3" t="s">
        <v>209</v>
      </c>
      <c r="BD25" s="3" t="s">
        <v>210</v>
      </c>
      <c r="BE25" s="3" t="s">
        <v>211</v>
      </c>
      <c r="BF25" s="3" t="s">
        <v>212</v>
      </c>
      <c r="BG25" s="3" t="s">
        <v>213</v>
      </c>
      <c r="BH25" s="3" t="s">
        <v>190</v>
      </c>
      <c r="BI25" s="3" t="s">
        <v>214</v>
      </c>
      <c r="BJ25" s="3" t="s">
        <v>215</v>
      </c>
      <c r="BK25" s="3" t="s">
        <v>216</v>
      </c>
      <c r="BL25" s="3" t="s">
        <v>217</v>
      </c>
      <c r="BM25" s="3" t="s">
        <v>218</v>
      </c>
      <c r="BN25" s="3" t="s">
        <v>152</v>
      </c>
      <c r="BO25" s="3" t="s">
        <v>152</v>
      </c>
      <c r="BP25" s="3" t="s">
        <v>152</v>
      </c>
      <c r="BQ25" s="3">
        <v>108</v>
      </c>
      <c r="BR25" s="3">
        <v>184</v>
      </c>
      <c r="BS25" s="3">
        <v>98</v>
      </c>
      <c r="BT25" s="3">
        <v>564</v>
      </c>
      <c r="BU25" s="3">
        <v>407</v>
      </c>
      <c r="BV25" s="3">
        <v>491</v>
      </c>
      <c r="BW25" s="3">
        <v>1050</v>
      </c>
      <c r="BX25" s="3" t="s">
        <v>111</v>
      </c>
      <c r="BY25" s="3" t="s">
        <v>153</v>
      </c>
      <c r="BZ25" s="3">
        <v>0</v>
      </c>
      <c r="CA25" s="3" t="s">
        <v>111</v>
      </c>
      <c r="CB25" s="3" t="s">
        <v>111</v>
      </c>
      <c r="CC25" s="3" t="s">
        <v>219</v>
      </c>
      <c r="CD25" s="3" t="s">
        <v>111</v>
      </c>
      <c r="CE25" s="3">
        <v>5022</v>
      </c>
    </row>
    <row r="26" spans="1:83" s="3" customFormat="1" ht="16" x14ac:dyDescent="0.2">
      <c r="A26" s="3" t="s">
        <v>3357</v>
      </c>
      <c r="B26" s="4" t="s">
        <v>4726</v>
      </c>
      <c r="C26" s="4">
        <v>12</v>
      </c>
      <c r="D26" s="5" t="s">
        <v>4734</v>
      </c>
      <c r="E26" s="3" t="s">
        <v>3413</v>
      </c>
      <c r="F26" s="3">
        <v>18035</v>
      </c>
      <c r="G26" s="14">
        <v>45155.810416666667</v>
      </c>
      <c r="H26" s="14">
        <v>45167.50277777778</v>
      </c>
      <c r="I26" s="3" t="s">
        <v>253</v>
      </c>
      <c r="J26" s="3" t="s">
        <v>111</v>
      </c>
      <c r="K26" s="3" t="s">
        <v>111</v>
      </c>
      <c r="L26" s="3" t="s">
        <v>111</v>
      </c>
      <c r="M26" s="3" t="s">
        <v>112</v>
      </c>
      <c r="N26" s="3" t="s">
        <v>113</v>
      </c>
      <c r="O26" s="3" t="s">
        <v>113</v>
      </c>
      <c r="P26" s="3">
        <v>0</v>
      </c>
      <c r="Q26" s="3" t="s">
        <v>113</v>
      </c>
      <c r="R26" s="3" t="s">
        <v>114</v>
      </c>
      <c r="S26" s="3" t="s">
        <v>115</v>
      </c>
      <c r="T26" s="3" t="s">
        <v>116</v>
      </c>
      <c r="U26" s="3" t="s">
        <v>117</v>
      </c>
      <c r="V26" s="3" t="s">
        <v>118</v>
      </c>
      <c r="W26" s="7" t="s">
        <v>254</v>
      </c>
      <c r="X26" s="3" t="s">
        <v>255</v>
      </c>
      <c r="Y26" s="7" t="s">
        <v>256</v>
      </c>
      <c r="Z26" s="3" t="s">
        <v>257</v>
      </c>
      <c r="AA26" s="3" t="s">
        <v>258</v>
      </c>
      <c r="AB26" s="3" t="s">
        <v>259</v>
      </c>
      <c r="AC26" s="3" t="s">
        <v>260</v>
      </c>
      <c r="AD26" s="3" t="s">
        <v>261</v>
      </c>
      <c r="AE26" s="3" t="s">
        <v>262</v>
      </c>
      <c r="AF26" s="3" t="s">
        <v>263</v>
      </c>
      <c r="AG26" s="3" t="s">
        <v>264</v>
      </c>
      <c r="AH26" s="3">
        <v>261.71089999999998</v>
      </c>
      <c r="AI26" s="3" t="s">
        <v>265</v>
      </c>
      <c r="AJ26" s="3" t="s">
        <v>113</v>
      </c>
      <c r="AK26" s="3" t="s">
        <v>113</v>
      </c>
      <c r="AL26" s="3" t="s">
        <v>113</v>
      </c>
      <c r="AM26" s="3" t="s">
        <v>131</v>
      </c>
      <c r="AN26" s="3" t="s">
        <v>3357</v>
      </c>
      <c r="AO26" s="3" t="s">
        <v>3413</v>
      </c>
      <c r="AP26" s="7">
        <v>0.18509999999999999</v>
      </c>
      <c r="AQ26" s="7">
        <f t="shared" si="4"/>
        <v>0.18509999999999999</v>
      </c>
      <c r="AR26" s="3" t="s">
        <v>266</v>
      </c>
      <c r="AS26" s="10" t="s">
        <v>267</v>
      </c>
      <c r="AT26" s="11">
        <f t="shared" si="5"/>
        <v>0.16300000000000001</v>
      </c>
      <c r="AU26" s="3" t="s">
        <v>268</v>
      </c>
      <c r="AV26" s="12"/>
      <c r="AW26" s="3" t="s">
        <v>269</v>
      </c>
      <c r="AX26" s="3" t="s">
        <v>270</v>
      </c>
      <c r="AY26" s="3" t="s">
        <v>271</v>
      </c>
      <c r="AZ26" s="3" t="s">
        <v>272</v>
      </c>
      <c r="BA26" s="3" t="s">
        <v>273</v>
      </c>
      <c r="BB26" s="3" t="s">
        <v>274</v>
      </c>
      <c r="BC26" s="3" t="s">
        <v>275</v>
      </c>
      <c r="BD26" s="3" t="s">
        <v>276</v>
      </c>
      <c r="BE26" s="3" t="s">
        <v>277</v>
      </c>
      <c r="BF26" s="3" t="s">
        <v>278</v>
      </c>
      <c r="BG26" s="3" t="s">
        <v>279</v>
      </c>
      <c r="BH26" s="3" t="s">
        <v>280</v>
      </c>
      <c r="BI26" s="3" t="s">
        <v>281</v>
      </c>
      <c r="BJ26" s="3" t="s">
        <v>282</v>
      </c>
      <c r="BK26" s="3" t="s">
        <v>283</v>
      </c>
      <c r="BL26" s="3" t="s">
        <v>284</v>
      </c>
      <c r="BM26" s="3" t="s">
        <v>285</v>
      </c>
      <c r="BN26" s="3" t="s">
        <v>152</v>
      </c>
      <c r="BO26" s="3" t="s">
        <v>152</v>
      </c>
      <c r="BP26" s="3" t="s">
        <v>152</v>
      </c>
      <c r="BQ26" s="3">
        <v>100</v>
      </c>
      <c r="BR26" s="3">
        <v>192</v>
      </c>
      <c r="BS26" s="3">
        <v>79</v>
      </c>
      <c r="BT26" s="3">
        <v>1080</v>
      </c>
      <c r="BU26" s="3">
        <v>329</v>
      </c>
      <c r="BV26" s="3">
        <v>711</v>
      </c>
      <c r="BW26" s="3">
        <v>1126</v>
      </c>
      <c r="BX26" s="3" t="s">
        <v>111</v>
      </c>
      <c r="BY26" s="3" t="s">
        <v>153</v>
      </c>
      <c r="BZ26" s="3">
        <v>0</v>
      </c>
      <c r="CA26" s="3" t="s">
        <v>111</v>
      </c>
      <c r="CB26" s="3" t="s">
        <v>111</v>
      </c>
      <c r="CC26" s="3" t="s">
        <v>286</v>
      </c>
      <c r="CD26" s="3" t="s">
        <v>111</v>
      </c>
      <c r="CE26" s="3">
        <v>5022</v>
      </c>
    </row>
    <row r="27" spans="1:83" s="3" customFormat="1" ht="16" x14ac:dyDescent="0.2">
      <c r="A27" s="3" t="s">
        <v>3358</v>
      </c>
      <c r="B27" s="4" t="s">
        <v>4726</v>
      </c>
      <c r="C27" s="4">
        <v>12</v>
      </c>
      <c r="D27" s="5" t="s">
        <v>4734</v>
      </c>
      <c r="E27" s="3" t="s">
        <v>3413</v>
      </c>
      <c r="F27" s="3">
        <v>18036</v>
      </c>
      <c r="G27" s="14">
        <v>45155.825694444444</v>
      </c>
      <c r="H27" s="14">
        <v>45167.560416666667</v>
      </c>
      <c r="I27" s="3" t="s">
        <v>318</v>
      </c>
      <c r="J27" s="3" t="s">
        <v>111</v>
      </c>
      <c r="K27" s="3" t="s">
        <v>111</v>
      </c>
      <c r="L27" s="3" t="s">
        <v>111</v>
      </c>
      <c r="M27" s="3" t="s">
        <v>112</v>
      </c>
      <c r="N27" s="3" t="s">
        <v>113</v>
      </c>
      <c r="O27" s="3" t="s">
        <v>113</v>
      </c>
      <c r="P27" s="3">
        <v>0</v>
      </c>
      <c r="Q27" s="3" t="s">
        <v>113</v>
      </c>
      <c r="R27" s="3" t="s">
        <v>114</v>
      </c>
      <c r="S27" s="3" t="s">
        <v>115</v>
      </c>
      <c r="T27" s="3" t="s">
        <v>116</v>
      </c>
      <c r="U27" s="3" t="s">
        <v>117</v>
      </c>
      <c r="V27" s="3" t="s">
        <v>118</v>
      </c>
      <c r="W27" s="7" t="s">
        <v>319</v>
      </c>
      <c r="X27" s="3" t="s">
        <v>320</v>
      </c>
      <c r="Y27" s="7" t="s">
        <v>321</v>
      </c>
      <c r="Z27" s="3" t="s">
        <v>322</v>
      </c>
      <c r="AA27" s="3" t="s">
        <v>323</v>
      </c>
      <c r="AB27" s="3" t="s">
        <v>324</v>
      </c>
      <c r="AC27" s="3" t="s">
        <v>325</v>
      </c>
      <c r="AD27" s="3" t="s">
        <v>326</v>
      </c>
      <c r="AE27" s="3" t="s">
        <v>327</v>
      </c>
      <c r="AF27" s="3" t="s">
        <v>328</v>
      </c>
      <c r="AG27" s="3" t="s">
        <v>329</v>
      </c>
      <c r="AH27" s="3">
        <v>176.8852</v>
      </c>
      <c r="AI27" s="3" t="s">
        <v>330</v>
      </c>
      <c r="AJ27" s="3" t="s">
        <v>113</v>
      </c>
      <c r="AK27" s="3" t="s">
        <v>113</v>
      </c>
      <c r="AL27" s="3" t="s">
        <v>113</v>
      </c>
      <c r="AM27" s="3" t="s">
        <v>131</v>
      </c>
      <c r="AN27" s="3" t="s">
        <v>3358</v>
      </c>
      <c r="AO27" s="3" t="s">
        <v>3413</v>
      </c>
      <c r="AP27" s="7">
        <v>0.2321</v>
      </c>
      <c r="AQ27" s="7">
        <f t="shared" si="4"/>
        <v>0.2321</v>
      </c>
      <c r="AR27" s="3" t="s">
        <v>332</v>
      </c>
      <c r="AS27" s="10" t="s">
        <v>333</v>
      </c>
      <c r="AT27" s="11">
        <f t="shared" si="5"/>
        <v>6.2700000000000006E-2</v>
      </c>
      <c r="AU27" s="3" t="s">
        <v>334</v>
      </c>
      <c r="AV27" s="12"/>
      <c r="AW27" s="3" t="s">
        <v>335</v>
      </c>
      <c r="AX27" s="3" t="s">
        <v>336</v>
      </c>
      <c r="AY27" s="3" t="s">
        <v>337</v>
      </c>
      <c r="AZ27" s="3" t="s">
        <v>338</v>
      </c>
      <c r="BA27" s="3" t="s">
        <v>339</v>
      </c>
      <c r="BB27" s="3" t="s">
        <v>340</v>
      </c>
      <c r="BC27" s="3" t="s">
        <v>341</v>
      </c>
      <c r="BD27" s="3" t="s">
        <v>342</v>
      </c>
      <c r="BE27" s="3" t="s">
        <v>343</v>
      </c>
      <c r="BF27" s="3" t="s">
        <v>344</v>
      </c>
      <c r="BG27" s="3" t="s">
        <v>345</v>
      </c>
      <c r="BH27" s="3" t="s">
        <v>346</v>
      </c>
      <c r="BI27" s="3" t="s">
        <v>347</v>
      </c>
      <c r="BJ27" s="3" t="s">
        <v>188</v>
      </c>
      <c r="BK27" s="3" t="s">
        <v>348</v>
      </c>
      <c r="BL27" s="3" t="s">
        <v>349</v>
      </c>
      <c r="BM27" s="3" t="s">
        <v>350</v>
      </c>
      <c r="BN27" s="3" t="s">
        <v>152</v>
      </c>
      <c r="BO27" s="3" t="s">
        <v>152</v>
      </c>
      <c r="BP27" s="3" t="s">
        <v>152</v>
      </c>
      <c r="BQ27" s="3">
        <v>196</v>
      </c>
      <c r="BR27" s="3">
        <v>124</v>
      </c>
      <c r="BS27" s="3">
        <v>85</v>
      </c>
      <c r="BT27" s="3">
        <v>1371</v>
      </c>
      <c r="BU27" s="3">
        <v>634</v>
      </c>
      <c r="BV27" s="3">
        <v>775</v>
      </c>
      <c r="BW27" s="3">
        <v>1126</v>
      </c>
      <c r="BX27" s="3" t="s">
        <v>111</v>
      </c>
      <c r="BY27" s="3" t="s">
        <v>153</v>
      </c>
      <c r="BZ27" s="3">
        <v>0</v>
      </c>
      <c r="CA27" s="3" t="s">
        <v>111</v>
      </c>
      <c r="CB27" s="3" t="s">
        <v>111</v>
      </c>
      <c r="CC27" s="3" t="s">
        <v>351</v>
      </c>
      <c r="CD27" s="3" t="s">
        <v>111</v>
      </c>
      <c r="CE27" s="3">
        <v>5022</v>
      </c>
    </row>
    <row r="28" spans="1:83" s="3" customFormat="1" ht="16" x14ac:dyDescent="0.2">
      <c r="A28" s="3" t="s">
        <v>3359</v>
      </c>
      <c r="B28" s="4" t="s">
        <v>4726</v>
      </c>
      <c r="C28" s="4">
        <v>12</v>
      </c>
      <c r="D28" s="5" t="s">
        <v>4734</v>
      </c>
      <c r="E28" s="3" t="s">
        <v>3413</v>
      </c>
      <c r="F28" s="3">
        <v>18037</v>
      </c>
      <c r="G28" s="14">
        <v>45155.820138888892</v>
      </c>
      <c r="H28" s="14">
        <v>45167.570138888892</v>
      </c>
      <c r="I28" s="3" t="s">
        <v>383</v>
      </c>
      <c r="J28" s="3" t="s">
        <v>111</v>
      </c>
      <c r="K28" s="3" t="s">
        <v>111</v>
      </c>
      <c r="L28" s="3" t="s">
        <v>111</v>
      </c>
      <c r="M28" s="3" t="s">
        <v>112</v>
      </c>
      <c r="N28" s="3" t="s">
        <v>113</v>
      </c>
      <c r="O28" s="3" t="s">
        <v>113</v>
      </c>
      <c r="P28" s="3">
        <v>0</v>
      </c>
      <c r="Q28" s="3" t="s">
        <v>113</v>
      </c>
      <c r="R28" s="3" t="s">
        <v>114</v>
      </c>
      <c r="S28" s="3" t="s">
        <v>115</v>
      </c>
      <c r="T28" s="3" t="s">
        <v>116</v>
      </c>
      <c r="U28" s="3" t="s">
        <v>117</v>
      </c>
      <c r="V28" s="3" t="s">
        <v>118</v>
      </c>
      <c r="W28" s="7" t="s">
        <v>384</v>
      </c>
      <c r="X28" s="3" t="s">
        <v>385</v>
      </c>
      <c r="Y28" s="7" t="s">
        <v>386</v>
      </c>
      <c r="Z28" s="3" t="s">
        <v>387</v>
      </c>
      <c r="AA28" s="3" t="s">
        <v>388</v>
      </c>
      <c r="AB28" s="3" t="s">
        <v>389</v>
      </c>
      <c r="AC28" s="3" t="s">
        <v>390</v>
      </c>
      <c r="AD28" s="3" t="s">
        <v>391</v>
      </c>
      <c r="AE28" s="3" t="s">
        <v>392</v>
      </c>
      <c r="AF28" s="3" t="s">
        <v>393</v>
      </c>
      <c r="AG28" s="3" t="s">
        <v>394</v>
      </c>
      <c r="AH28" s="3">
        <v>292.89370000000002</v>
      </c>
      <c r="AI28" s="3" t="s">
        <v>395</v>
      </c>
      <c r="AJ28" s="3" t="s">
        <v>113</v>
      </c>
      <c r="AK28" s="3" t="s">
        <v>113</v>
      </c>
      <c r="AL28" s="3" t="s">
        <v>113</v>
      </c>
      <c r="AM28" s="3" t="s">
        <v>131</v>
      </c>
      <c r="AN28" s="3" t="s">
        <v>3359</v>
      </c>
      <c r="AO28" s="3" t="s">
        <v>3413</v>
      </c>
      <c r="AP28" s="7" t="s">
        <v>396</v>
      </c>
      <c r="AQ28" s="7">
        <f t="shared" si="4"/>
        <v>0.19059999999999999</v>
      </c>
      <c r="AR28" s="3" t="s">
        <v>397</v>
      </c>
      <c r="AS28" s="10" t="s">
        <v>398</v>
      </c>
      <c r="AT28" s="11">
        <f t="shared" si="5"/>
        <v>0.20599999999999999</v>
      </c>
      <c r="AU28" s="3" t="s">
        <v>399</v>
      </c>
      <c r="AV28" s="12"/>
      <c r="AW28" s="3" t="s">
        <v>400</v>
      </c>
      <c r="AX28" s="3" t="s">
        <v>401</v>
      </c>
      <c r="AY28" s="3" t="s">
        <v>402</v>
      </c>
      <c r="AZ28" s="3" t="s">
        <v>403</v>
      </c>
      <c r="BA28" s="3" t="s">
        <v>404</v>
      </c>
      <c r="BB28" s="3" t="s">
        <v>405</v>
      </c>
      <c r="BC28" s="3" t="s">
        <v>406</v>
      </c>
      <c r="BD28" s="3" t="s">
        <v>407</v>
      </c>
      <c r="BE28" s="3" t="s">
        <v>408</v>
      </c>
      <c r="BF28" s="3" t="s">
        <v>409</v>
      </c>
      <c r="BG28" s="3" t="s">
        <v>410</v>
      </c>
      <c r="BH28" s="3" t="s">
        <v>411</v>
      </c>
      <c r="BI28" s="3" t="s">
        <v>412</v>
      </c>
      <c r="BJ28" s="3" t="s">
        <v>413</v>
      </c>
      <c r="BK28" s="3" t="s">
        <v>414</v>
      </c>
      <c r="BL28" s="3" t="s">
        <v>415</v>
      </c>
      <c r="BM28" s="3" t="s">
        <v>416</v>
      </c>
      <c r="BN28" s="3" t="s">
        <v>152</v>
      </c>
      <c r="BO28" s="3" t="s">
        <v>152</v>
      </c>
      <c r="BP28" s="3" t="s">
        <v>152</v>
      </c>
      <c r="BQ28" s="3">
        <v>212</v>
      </c>
      <c r="BR28" s="3">
        <v>112</v>
      </c>
      <c r="BS28" s="3">
        <v>76</v>
      </c>
      <c r="BT28" s="3">
        <v>1425</v>
      </c>
      <c r="BU28" s="3">
        <v>1265</v>
      </c>
      <c r="BV28" s="3">
        <v>311</v>
      </c>
      <c r="BW28" s="3">
        <v>1040</v>
      </c>
      <c r="BX28" s="3" t="s">
        <v>111</v>
      </c>
      <c r="BY28" s="3" t="s">
        <v>153</v>
      </c>
      <c r="BZ28" s="3">
        <v>0</v>
      </c>
      <c r="CA28" s="3" t="s">
        <v>111</v>
      </c>
      <c r="CB28" s="3" t="s">
        <v>111</v>
      </c>
      <c r="CC28" s="3" t="s">
        <v>417</v>
      </c>
      <c r="CD28" s="3" t="s">
        <v>111</v>
      </c>
      <c r="CE28" s="3">
        <v>5022</v>
      </c>
    </row>
    <row r="29" spans="1:83" s="3" customFormat="1" ht="16" x14ac:dyDescent="0.2">
      <c r="A29" s="3" t="s">
        <v>3360</v>
      </c>
      <c r="B29" s="5" t="s">
        <v>4726</v>
      </c>
      <c r="C29" s="4">
        <v>12</v>
      </c>
      <c r="D29" s="5" t="s">
        <v>4734</v>
      </c>
      <c r="E29" s="3" t="s">
        <v>3413</v>
      </c>
      <c r="F29" s="3">
        <v>18039</v>
      </c>
      <c r="G29" s="14">
        <v>45155.831944444442</v>
      </c>
      <c r="H29" s="14">
        <v>45167.582638888889</v>
      </c>
      <c r="I29" s="3" t="s">
        <v>450</v>
      </c>
      <c r="J29" s="3" t="s">
        <v>111</v>
      </c>
      <c r="K29" s="3" t="s">
        <v>111</v>
      </c>
      <c r="L29" s="3" t="s">
        <v>111</v>
      </c>
      <c r="M29" s="3" t="s">
        <v>112</v>
      </c>
      <c r="N29" s="3" t="s">
        <v>113</v>
      </c>
      <c r="O29" s="3" t="s">
        <v>113</v>
      </c>
      <c r="P29" s="3">
        <v>0</v>
      </c>
      <c r="Q29" s="3" t="s">
        <v>113</v>
      </c>
      <c r="R29" s="3" t="s">
        <v>114</v>
      </c>
      <c r="S29" s="3" t="s">
        <v>115</v>
      </c>
      <c r="T29" s="3" t="s">
        <v>116</v>
      </c>
      <c r="U29" s="3" t="s">
        <v>117</v>
      </c>
      <c r="V29" s="3" t="s">
        <v>118</v>
      </c>
      <c r="W29" s="7" t="s">
        <v>451</v>
      </c>
      <c r="X29" s="3" t="s">
        <v>452</v>
      </c>
      <c r="Y29" s="7" t="s">
        <v>453</v>
      </c>
      <c r="Z29" s="3" t="s">
        <v>454</v>
      </c>
      <c r="AA29" s="3" t="s">
        <v>455</v>
      </c>
      <c r="AB29" s="3" t="s">
        <v>456</v>
      </c>
      <c r="AC29" s="3" t="s">
        <v>457</v>
      </c>
      <c r="AD29" s="3" t="s">
        <v>458</v>
      </c>
      <c r="AE29" s="3" t="s">
        <v>459</v>
      </c>
      <c r="AF29" s="3" t="s">
        <v>460</v>
      </c>
      <c r="AG29" s="3" t="s">
        <v>461</v>
      </c>
      <c r="AH29" s="3">
        <v>372.9948</v>
      </c>
      <c r="AI29" s="3" t="s">
        <v>462</v>
      </c>
      <c r="AJ29" s="3" t="s">
        <v>113</v>
      </c>
      <c r="AK29" s="3" t="s">
        <v>113</v>
      </c>
      <c r="AL29" s="3" t="s">
        <v>113</v>
      </c>
      <c r="AM29" s="3" t="s">
        <v>131</v>
      </c>
      <c r="AN29" s="3" t="s">
        <v>3360</v>
      </c>
      <c r="AO29" s="3" t="s">
        <v>3413</v>
      </c>
      <c r="AP29" s="7" t="s">
        <v>463</v>
      </c>
      <c r="AQ29" s="7">
        <f t="shared" si="4"/>
        <v>0.24260000000000001</v>
      </c>
      <c r="AR29" s="3" t="s">
        <v>464</v>
      </c>
      <c r="AS29" s="10" t="s">
        <v>465</v>
      </c>
      <c r="AT29" s="11">
        <f t="shared" si="5"/>
        <v>0.32340000000000002</v>
      </c>
      <c r="AU29" s="3" t="s">
        <v>466</v>
      </c>
      <c r="AV29" s="12"/>
      <c r="AW29" s="3" t="s">
        <v>467</v>
      </c>
      <c r="AX29" s="3" t="s">
        <v>468</v>
      </c>
      <c r="AY29" s="3" t="s">
        <v>469</v>
      </c>
      <c r="AZ29" s="3" t="s">
        <v>470</v>
      </c>
      <c r="BA29" s="3" t="s">
        <v>471</v>
      </c>
      <c r="BB29" s="3" t="s">
        <v>472</v>
      </c>
      <c r="BC29" s="3" t="s">
        <v>473</v>
      </c>
      <c r="BD29" s="3" t="s">
        <v>474</v>
      </c>
      <c r="BE29" s="3" t="s">
        <v>475</v>
      </c>
      <c r="BF29" s="3" t="s">
        <v>476</v>
      </c>
      <c r="BG29" s="3" t="s">
        <v>477</v>
      </c>
      <c r="BH29" s="3" t="s">
        <v>478</v>
      </c>
      <c r="BI29" s="3" t="s">
        <v>479</v>
      </c>
      <c r="BJ29" s="3" t="s">
        <v>480</v>
      </c>
      <c r="BK29" s="3" t="s">
        <v>350</v>
      </c>
      <c r="BL29" s="3" t="s">
        <v>481</v>
      </c>
      <c r="BM29" s="3" t="s">
        <v>482</v>
      </c>
      <c r="BN29" s="3" t="s">
        <v>152</v>
      </c>
      <c r="BO29" s="3" t="s">
        <v>152</v>
      </c>
      <c r="BP29" s="3" t="s">
        <v>152</v>
      </c>
      <c r="BQ29" s="3">
        <v>132</v>
      </c>
      <c r="BR29" s="3">
        <v>176</v>
      </c>
      <c r="BS29" s="3">
        <v>104</v>
      </c>
      <c r="BT29" s="3">
        <v>1058</v>
      </c>
      <c r="BU29" s="3">
        <v>1481</v>
      </c>
      <c r="BV29" s="3">
        <v>151</v>
      </c>
      <c r="BW29" s="3">
        <v>940</v>
      </c>
      <c r="BX29" s="3" t="s">
        <v>111</v>
      </c>
      <c r="BY29" s="3" t="s">
        <v>153</v>
      </c>
      <c r="BZ29" s="3">
        <v>0</v>
      </c>
      <c r="CA29" s="3" t="s">
        <v>111</v>
      </c>
      <c r="CB29" s="3" t="s">
        <v>111</v>
      </c>
      <c r="CC29" s="3" t="s">
        <v>483</v>
      </c>
      <c r="CD29" s="3" t="s">
        <v>111</v>
      </c>
      <c r="CE29" s="3">
        <v>5022</v>
      </c>
    </row>
    <row r="30" spans="1:83" s="3" customFormat="1" ht="16" x14ac:dyDescent="0.2">
      <c r="A30" s="3" t="s">
        <v>3361</v>
      </c>
      <c r="B30" s="4" t="s">
        <v>4726</v>
      </c>
      <c r="C30" s="4">
        <v>12</v>
      </c>
      <c r="D30" s="5" t="s">
        <v>4734</v>
      </c>
      <c r="E30" s="3" t="s">
        <v>3413</v>
      </c>
      <c r="F30" s="3">
        <v>18040</v>
      </c>
      <c r="G30" s="14">
        <v>45155.838888888888</v>
      </c>
      <c r="H30" s="14">
        <v>45167.597916666666</v>
      </c>
      <c r="I30" s="3" t="s">
        <v>517</v>
      </c>
      <c r="J30" s="3" t="s">
        <v>111</v>
      </c>
      <c r="K30" s="3" t="s">
        <v>111</v>
      </c>
      <c r="L30" s="3" t="s">
        <v>111</v>
      </c>
      <c r="M30" s="3" t="s">
        <v>112</v>
      </c>
      <c r="N30" s="3" t="s">
        <v>113</v>
      </c>
      <c r="O30" s="3" t="s">
        <v>113</v>
      </c>
      <c r="P30" s="3">
        <v>0</v>
      </c>
      <c r="Q30" s="3" t="s">
        <v>113</v>
      </c>
      <c r="R30" s="3" t="s">
        <v>114</v>
      </c>
      <c r="S30" s="3" t="s">
        <v>115</v>
      </c>
      <c r="T30" s="3" t="s">
        <v>116</v>
      </c>
      <c r="U30" s="3" t="s">
        <v>117</v>
      </c>
      <c r="V30" s="3" t="s">
        <v>118</v>
      </c>
      <c r="W30" s="7" t="s">
        <v>440</v>
      </c>
      <c r="X30" s="3" t="s">
        <v>518</v>
      </c>
      <c r="Y30" s="7" t="s">
        <v>519</v>
      </c>
      <c r="Z30" s="3" t="s">
        <v>520</v>
      </c>
      <c r="AA30" s="3" t="s">
        <v>521</v>
      </c>
      <c r="AB30" s="3" t="s">
        <v>522</v>
      </c>
      <c r="AC30" s="3" t="s">
        <v>523</v>
      </c>
      <c r="AD30" s="3" t="s">
        <v>524</v>
      </c>
      <c r="AE30" s="3" t="s">
        <v>525</v>
      </c>
      <c r="AF30" s="3" t="s">
        <v>526</v>
      </c>
      <c r="AG30" s="3" t="s">
        <v>527</v>
      </c>
      <c r="AH30" s="3">
        <v>215.11859999999999</v>
      </c>
      <c r="AI30" s="3" t="s">
        <v>528</v>
      </c>
      <c r="AJ30" s="3" t="s">
        <v>113</v>
      </c>
      <c r="AK30" s="3" t="s">
        <v>113</v>
      </c>
      <c r="AL30" s="3" t="s">
        <v>113</v>
      </c>
      <c r="AM30" s="3" t="s">
        <v>131</v>
      </c>
      <c r="AN30" s="3" t="s">
        <v>3361</v>
      </c>
      <c r="AO30" s="3" t="s">
        <v>3413</v>
      </c>
      <c r="AP30" s="7" t="s">
        <v>529</v>
      </c>
      <c r="AQ30" s="7">
        <f t="shared" si="4"/>
        <v>0.18390000000000001</v>
      </c>
      <c r="AR30" s="3" t="s">
        <v>530</v>
      </c>
      <c r="AS30" s="10" t="s">
        <v>531</v>
      </c>
      <c r="AT30" s="11">
        <f t="shared" si="5"/>
        <v>0.1167</v>
      </c>
      <c r="AU30" s="3" t="s">
        <v>532</v>
      </c>
      <c r="AV30" s="12"/>
      <c r="AW30" s="3" t="s">
        <v>533</v>
      </c>
      <c r="AX30" s="3" t="s">
        <v>534</v>
      </c>
      <c r="AY30" s="3" t="s">
        <v>535</v>
      </c>
      <c r="AZ30" s="3" t="s">
        <v>536</v>
      </c>
      <c r="BA30" s="3" t="s">
        <v>537</v>
      </c>
      <c r="BB30" s="3" t="s">
        <v>538</v>
      </c>
      <c r="BC30" s="3" t="s">
        <v>539</v>
      </c>
      <c r="BD30" s="3" t="s">
        <v>540</v>
      </c>
      <c r="BE30" s="3" t="s">
        <v>541</v>
      </c>
      <c r="BF30" s="3" t="s">
        <v>542</v>
      </c>
      <c r="BG30" s="3" t="s">
        <v>543</v>
      </c>
      <c r="BH30" s="3" t="s">
        <v>544</v>
      </c>
      <c r="BI30" s="3" t="s">
        <v>545</v>
      </c>
      <c r="BJ30" s="3" t="s">
        <v>546</v>
      </c>
      <c r="BK30" s="3" t="s">
        <v>547</v>
      </c>
      <c r="BL30" s="3" t="s">
        <v>548</v>
      </c>
      <c r="BM30" s="3" t="s">
        <v>549</v>
      </c>
      <c r="BN30" s="3" t="s">
        <v>152</v>
      </c>
      <c r="BO30" s="3" t="s">
        <v>152</v>
      </c>
      <c r="BP30" s="3" t="s">
        <v>152</v>
      </c>
      <c r="BQ30" s="3">
        <v>116</v>
      </c>
      <c r="BR30" s="3">
        <v>104</v>
      </c>
      <c r="BS30" s="3">
        <v>87</v>
      </c>
      <c r="BT30" s="3">
        <v>595</v>
      </c>
      <c r="BU30" s="3">
        <v>1631</v>
      </c>
      <c r="BV30" s="3">
        <v>823</v>
      </c>
      <c r="BW30" s="3">
        <v>1126</v>
      </c>
      <c r="BX30" s="3" t="s">
        <v>111</v>
      </c>
      <c r="BY30" s="3" t="s">
        <v>153</v>
      </c>
      <c r="BZ30" s="3">
        <v>0</v>
      </c>
      <c r="CA30" s="3" t="s">
        <v>111</v>
      </c>
      <c r="CB30" s="3" t="s">
        <v>111</v>
      </c>
      <c r="CC30" s="3" t="s">
        <v>550</v>
      </c>
      <c r="CD30" s="3" t="s">
        <v>111</v>
      </c>
      <c r="CE30" s="3">
        <v>5022</v>
      </c>
    </row>
    <row r="31" spans="1:83" s="3" customFormat="1" x14ac:dyDescent="0.2">
      <c r="D31" s="5"/>
      <c r="G31" s="14"/>
      <c r="H31" s="14"/>
      <c r="W31" s="7"/>
      <c r="Y31" s="7"/>
      <c r="AP31" s="7"/>
      <c r="AQ31" s="7"/>
      <c r="AS31" s="10"/>
      <c r="AT31" s="11"/>
      <c r="AV31" s="12"/>
    </row>
    <row r="32" spans="1:83" s="3" customFormat="1" x14ac:dyDescent="0.2">
      <c r="D32" s="5"/>
      <c r="G32" s="14"/>
      <c r="H32" s="14"/>
      <c r="W32" s="7"/>
      <c r="Y32" s="7"/>
      <c r="AO32" s="3" t="s">
        <v>4721</v>
      </c>
      <c r="AP32" s="7"/>
      <c r="AQ32" s="7">
        <f>_xlfn.T.TEST(AQ24:AQ30,AQ5:AQ13,2,3)</f>
        <v>3.2223090663261188E-6</v>
      </c>
      <c r="AS32" s="10"/>
      <c r="AT32" s="7">
        <f>_xlfn.T.TEST(AT24:AT30,AT5:AT13,2,3)</f>
        <v>9.1458947977616101E-3</v>
      </c>
      <c r="AV32" s="12"/>
    </row>
    <row r="33" spans="1:83" s="3" customFormat="1" x14ac:dyDescent="0.2">
      <c r="D33" s="5"/>
      <c r="W33" s="7"/>
      <c r="Y33" s="7"/>
      <c r="AO33" s="3" t="s">
        <v>4722</v>
      </c>
      <c r="AP33" s="7"/>
      <c r="AQ33" s="7">
        <f>_xlfn.T.TEST(AQ24:AQ30,AQ15:AQ20,2,3)</f>
        <v>2.3527401683973419E-3</v>
      </c>
      <c r="AS33" s="10"/>
      <c r="AT33" s="7">
        <f>_xlfn.T.TEST(AT24:AT30,AT15:AT20,2,3)</f>
        <v>9.4548603545084708E-2</v>
      </c>
      <c r="AV33" s="12"/>
    </row>
    <row r="35" spans="1:83" s="3" customFormat="1" ht="16" x14ac:dyDescent="0.2">
      <c r="A35" s="3" t="s">
        <v>3370</v>
      </c>
      <c r="B35" s="4" t="s">
        <v>4726</v>
      </c>
      <c r="C35" s="4">
        <v>12</v>
      </c>
      <c r="D35" s="5" t="s">
        <v>4732</v>
      </c>
      <c r="E35" s="3" t="s">
        <v>3413</v>
      </c>
      <c r="F35" s="3">
        <v>18050</v>
      </c>
      <c r="G35" s="14">
        <v>45156.55</v>
      </c>
      <c r="H35" s="14">
        <v>45170.311111111114</v>
      </c>
      <c r="I35" s="3" t="s">
        <v>1079</v>
      </c>
      <c r="J35" s="3" t="s">
        <v>111</v>
      </c>
      <c r="K35" s="3" t="s">
        <v>111</v>
      </c>
      <c r="L35" s="3" t="s">
        <v>111</v>
      </c>
      <c r="M35" s="3" t="s">
        <v>112</v>
      </c>
      <c r="N35" s="3" t="s">
        <v>113</v>
      </c>
      <c r="O35" s="3" t="s">
        <v>113</v>
      </c>
      <c r="P35" s="3">
        <v>0</v>
      </c>
      <c r="Q35" s="3" t="s">
        <v>113</v>
      </c>
      <c r="R35" s="3" t="s">
        <v>114</v>
      </c>
      <c r="S35" s="3" t="s">
        <v>115</v>
      </c>
      <c r="T35" s="3" t="s">
        <v>116</v>
      </c>
      <c r="U35" s="3" t="s">
        <v>117</v>
      </c>
      <c r="V35" s="3" t="s">
        <v>118</v>
      </c>
      <c r="W35" s="7" t="s">
        <v>1080</v>
      </c>
      <c r="X35" s="3" t="s">
        <v>1081</v>
      </c>
      <c r="Y35" s="7" t="s">
        <v>832</v>
      </c>
      <c r="Z35" s="3" t="s">
        <v>1082</v>
      </c>
      <c r="AA35" s="3" t="s">
        <v>1083</v>
      </c>
      <c r="AB35" s="3" t="s">
        <v>1084</v>
      </c>
      <c r="AC35" s="3" t="s">
        <v>161</v>
      </c>
      <c r="AD35" s="3" t="s">
        <v>1085</v>
      </c>
      <c r="AE35" s="3" t="s">
        <v>624</v>
      </c>
      <c r="AF35" s="3" t="s">
        <v>1086</v>
      </c>
      <c r="AG35" s="3" t="s">
        <v>1087</v>
      </c>
      <c r="AH35" s="3">
        <v>325.16669999999999</v>
      </c>
      <c r="AI35" s="3" t="s">
        <v>1088</v>
      </c>
      <c r="AJ35" s="3" t="s">
        <v>113</v>
      </c>
      <c r="AK35" s="3" t="s">
        <v>113</v>
      </c>
      <c r="AL35" s="3" t="s">
        <v>113</v>
      </c>
      <c r="AM35" s="3" t="s">
        <v>131</v>
      </c>
      <c r="AN35" s="3" t="s">
        <v>3370</v>
      </c>
      <c r="AO35" s="3" t="s">
        <v>3413</v>
      </c>
      <c r="AP35" s="7" t="s">
        <v>1089</v>
      </c>
      <c r="AQ35" s="7">
        <f>VALUE(AP35)</f>
        <v>0.49659999999999999</v>
      </c>
      <c r="AR35" s="3" t="s">
        <v>1090</v>
      </c>
      <c r="AS35" s="10">
        <v>0.26429999999999998</v>
      </c>
      <c r="AT35" s="11">
        <f>VALUE(AS35)</f>
        <v>0.26429999999999998</v>
      </c>
      <c r="AU35" s="3" t="s">
        <v>1091</v>
      </c>
      <c r="AV35" s="12"/>
      <c r="AW35" s="3" t="s">
        <v>1092</v>
      </c>
      <c r="AX35" s="3" t="s">
        <v>1093</v>
      </c>
      <c r="AY35" s="3" t="s">
        <v>1094</v>
      </c>
      <c r="AZ35" s="3" t="s">
        <v>1095</v>
      </c>
      <c r="BA35" s="3" t="s">
        <v>1096</v>
      </c>
      <c r="BB35" s="3" t="s">
        <v>576</v>
      </c>
      <c r="BC35" s="3" t="s">
        <v>1097</v>
      </c>
      <c r="BD35" s="3" t="s">
        <v>1098</v>
      </c>
      <c r="BE35" s="3" t="s">
        <v>1099</v>
      </c>
      <c r="BF35" s="3" t="s">
        <v>1100</v>
      </c>
      <c r="BG35" s="3" t="s">
        <v>1101</v>
      </c>
      <c r="BH35" s="3" t="s">
        <v>1102</v>
      </c>
      <c r="BI35" s="3" t="s">
        <v>1103</v>
      </c>
      <c r="BJ35" s="3" t="s">
        <v>1104</v>
      </c>
      <c r="BK35" s="3" t="s">
        <v>1105</v>
      </c>
      <c r="BL35" s="3" t="s">
        <v>1106</v>
      </c>
      <c r="BM35" s="3" t="s">
        <v>579</v>
      </c>
      <c r="BN35" s="3" t="s">
        <v>152</v>
      </c>
      <c r="BO35" s="3" t="s">
        <v>152</v>
      </c>
      <c r="BP35" s="3" t="s">
        <v>152</v>
      </c>
      <c r="BQ35" s="3">
        <v>140</v>
      </c>
      <c r="BR35" s="3">
        <v>228</v>
      </c>
      <c r="BS35" s="3">
        <v>71</v>
      </c>
      <c r="BT35" s="3">
        <v>286</v>
      </c>
      <c r="BU35" s="3">
        <v>1170</v>
      </c>
      <c r="BV35" s="3">
        <v>729</v>
      </c>
      <c r="BW35" s="3">
        <v>1100</v>
      </c>
      <c r="BX35" s="3" t="s">
        <v>111</v>
      </c>
      <c r="BY35" s="3" t="s">
        <v>153</v>
      </c>
      <c r="BZ35" s="3">
        <v>0</v>
      </c>
      <c r="CA35" s="3" t="s">
        <v>111</v>
      </c>
      <c r="CB35" s="3" t="s">
        <v>111</v>
      </c>
      <c r="CC35" s="3" t="s">
        <v>1107</v>
      </c>
      <c r="CD35" s="3" t="s">
        <v>111</v>
      </c>
      <c r="CE35" s="3">
        <v>5022</v>
      </c>
    </row>
    <row r="36" spans="1:83" s="3" customFormat="1" ht="16" x14ac:dyDescent="0.2">
      <c r="A36" s="3" t="s">
        <v>3371</v>
      </c>
      <c r="B36" s="5" t="s">
        <v>4726</v>
      </c>
      <c r="C36" s="4">
        <v>12</v>
      </c>
      <c r="D36" s="5" t="s">
        <v>4732</v>
      </c>
      <c r="E36" s="3" t="s">
        <v>3413</v>
      </c>
      <c r="F36" s="3">
        <v>18051</v>
      </c>
      <c r="G36" s="14">
        <v>45156.603472222225</v>
      </c>
      <c r="H36" s="14">
        <v>45170.311805555553</v>
      </c>
      <c r="I36" s="3" t="s">
        <v>1140</v>
      </c>
      <c r="J36" s="3" t="s">
        <v>111</v>
      </c>
      <c r="K36" s="3" t="s">
        <v>111</v>
      </c>
      <c r="L36" s="3" t="s">
        <v>111</v>
      </c>
      <c r="M36" s="3" t="s">
        <v>112</v>
      </c>
      <c r="N36" s="3" t="s">
        <v>113</v>
      </c>
      <c r="O36" s="3" t="s">
        <v>113</v>
      </c>
      <c r="P36" s="3">
        <v>0</v>
      </c>
      <c r="Q36" s="3" t="s">
        <v>113</v>
      </c>
      <c r="R36" s="3" t="s">
        <v>114</v>
      </c>
      <c r="S36" s="3" t="s">
        <v>115</v>
      </c>
      <c r="T36" s="3" t="s">
        <v>116</v>
      </c>
      <c r="U36" s="3" t="s">
        <v>117</v>
      </c>
      <c r="V36" s="3" t="s">
        <v>118</v>
      </c>
      <c r="W36" s="7" t="s">
        <v>1141</v>
      </c>
      <c r="X36" s="3" t="s">
        <v>1142</v>
      </c>
      <c r="Y36" s="7" t="s">
        <v>789</v>
      </c>
      <c r="Z36" s="3" t="s">
        <v>1143</v>
      </c>
      <c r="AA36" s="3" t="s">
        <v>1144</v>
      </c>
      <c r="AB36" s="3" t="s">
        <v>1145</v>
      </c>
      <c r="AC36" s="3" t="s">
        <v>1146</v>
      </c>
      <c r="AD36" s="3" t="s">
        <v>1147</v>
      </c>
      <c r="AE36" s="3" t="s">
        <v>1148</v>
      </c>
      <c r="AF36" s="3" t="s">
        <v>132</v>
      </c>
      <c r="AG36" s="3" t="s">
        <v>586</v>
      </c>
      <c r="AH36" s="3">
        <v>312.73719999999997</v>
      </c>
      <c r="AI36" s="3" t="s">
        <v>1149</v>
      </c>
      <c r="AJ36" s="3" t="s">
        <v>113</v>
      </c>
      <c r="AK36" s="3" t="s">
        <v>113</v>
      </c>
      <c r="AL36" s="3" t="s">
        <v>113</v>
      </c>
      <c r="AM36" s="3" t="s">
        <v>131</v>
      </c>
      <c r="AN36" s="3" t="s">
        <v>3371</v>
      </c>
      <c r="AO36" s="3" t="s">
        <v>3413</v>
      </c>
      <c r="AP36" s="7" t="s">
        <v>1150</v>
      </c>
      <c r="AQ36" s="7">
        <f>VALUE(AP36)</f>
        <v>0.47589999999999999</v>
      </c>
      <c r="AR36" s="3" t="s">
        <v>1151</v>
      </c>
      <c r="AS36" s="10">
        <v>0.24579999999999999</v>
      </c>
      <c r="AT36" s="11">
        <f>VALUE(AS36)</f>
        <v>0.24579999999999999</v>
      </c>
      <c r="AU36" s="3" t="s">
        <v>1152</v>
      </c>
      <c r="AV36" s="12"/>
      <c r="AW36" s="3" t="s">
        <v>1153</v>
      </c>
      <c r="AX36" s="3" t="s">
        <v>1154</v>
      </c>
      <c r="AY36" s="3" t="s">
        <v>1155</v>
      </c>
      <c r="AZ36" s="3" t="s">
        <v>1156</v>
      </c>
      <c r="BA36" s="3" t="s">
        <v>1157</v>
      </c>
      <c r="BB36" s="3" t="s">
        <v>1158</v>
      </c>
      <c r="BC36" s="3" t="s">
        <v>1159</v>
      </c>
      <c r="BD36" s="3" t="s">
        <v>145</v>
      </c>
      <c r="BE36" s="3" t="s">
        <v>1160</v>
      </c>
      <c r="BF36" s="3" t="s">
        <v>1161</v>
      </c>
      <c r="BG36" s="3" t="s">
        <v>1162</v>
      </c>
      <c r="BH36" s="3" t="s">
        <v>1163</v>
      </c>
      <c r="BI36" s="3" t="s">
        <v>1164</v>
      </c>
      <c r="BJ36" s="3" t="s">
        <v>1165</v>
      </c>
      <c r="BK36" s="3" t="s">
        <v>713</v>
      </c>
      <c r="BL36" s="3" t="s">
        <v>1166</v>
      </c>
      <c r="BM36" s="3" t="s">
        <v>530</v>
      </c>
      <c r="BN36" s="3" t="s">
        <v>152</v>
      </c>
      <c r="BO36" s="3" t="s">
        <v>152</v>
      </c>
      <c r="BP36" s="3" t="s">
        <v>152</v>
      </c>
      <c r="BQ36" s="3">
        <v>224</v>
      </c>
      <c r="BR36" s="3">
        <v>144</v>
      </c>
      <c r="BS36" s="3">
        <v>66</v>
      </c>
      <c r="BT36" s="3">
        <v>493</v>
      </c>
      <c r="BU36" s="3">
        <v>562</v>
      </c>
      <c r="BV36" s="3">
        <v>734</v>
      </c>
      <c r="BW36" s="3">
        <v>1090</v>
      </c>
      <c r="BX36" s="3" t="s">
        <v>111</v>
      </c>
      <c r="BY36" s="3" t="s">
        <v>153</v>
      </c>
      <c r="BZ36" s="3">
        <v>0</v>
      </c>
      <c r="CA36" s="3" t="s">
        <v>111</v>
      </c>
      <c r="CB36" s="3" t="s">
        <v>111</v>
      </c>
      <c r="CC36" s="3" t="s">
        <v>1167</v>
      </c>
      <c r="CD36" s="3" t="s">
        <v>111</v>
      </c>
      <c r="CE36" s="3">
        <v>5022</v>
      </c>
    </row>
    <row r="37" spans="1:83" s="3" customFormat="1" ht="16" x14ac:dyDescent="0.2">
      <c r="A37" s="3" t="s">
        <v>3372</v>
      </c>
      <c r="B37" s="4" t="s">
        <v>4726</v>
      </c>
      <c r="C37" s="4">
        <v>12</v>
      </c>
      <c r="D37" s="5" t="s">
        <v>4732</v>
      </c>
      <c r="E37" s="3" t="s">
        <v>3413</v>
      </c>
      <c r="F37" s="3">
        <v>18052</v>
      </c>
      <c r="G37" s="14">
        <v>45156.61041666667</v>
      </c>
      <c r="H37" s="14">
        <v>45170.3125</v>
      </c>
      <c r="I37" s="3" t="s">
        <v>1195</v>
      </c>
      <c r="J37" s="3" t="s">
        <v>111</v>
      </c>
      <c r="K37" s="3" t="s">
        <v>111</v>
      </c>
      <c r="L37" s="3" t="s">
        <v>111</v>
      </c>
      <c r="M37" s="3" t="s">
        <v>112</v>
      </c>
      <c r="N37" s="3" t="s">
        <v>113</v>
      </c>
      <c r="O37" s="3" t="s">
        <v>113</v>
      </c>
      <c r="P37" s="3">
        <v>0</v>
      </c>
      <c r="Q37" s="3" t="s">
        <v>113</v>
      </c>
      <c r="R37" s="3" t="s">
        <v>114</v>
      </c>
      <c r="S37" s="3" t="s">
        <v>115</v>
      </c>
      <c r="T37" s="3" t="s">
        <v>116</v>
      </c>
      <c r="U37" s="3" t="s">
        <v>117</v>
      </c>
      <c r="V37" s="3" t="s">
        <v>118</v>
      </c>
      <c r="W37" s="7" t="s">
        <v>1196</v>
      </c>
      <c r="X37" s="3" t="s">
        <v>1197</v>
      </c>
      <c r="Y37" s="7" t="s">
        <v>1198</v>
      </c>
      <c r="Z37" s="3" t="s">
        <v>1199</v>
      </c>
      <c r="AA37" s="3" t="s">
        <v>1200</v>
      </c>
      <c r="AB37" s="3" t="s">
        <v>1201</v>
      </c>
      <c r="AC37" s="3" t="s">
        <v>1202</v>
      </c>
      <c r="AD37" s="3" t="s">
        <v>1203</v>
      </c>
      <c r="AE37" s="3" t="s">
        <v>1204</v>
      </c>
      <c r="AF37" s="3" t="s">
        <v>1205</v>
      </c>
      <c r="AG37" s="3" t="s">
        <v>1206</v>
      </c>
      <c r="AH37" s="3">
        <v>226.8939</v>
      </c>
      <c r="AI37" s="3" t="s">
        <v>1207</v>
      </c>
      <c r="AJ37" s="3" t="s">
        <v>113</v>
      </c>
      <c r="AK37" s="3" t="s">
        <v>113</v>
      </c>
      <c r="AL37" s="3" t="s">
        <v>113</v>
      </c>
      <c r="AM37" s="3" t="s">
        <v>131</v>
      </c>
      <c r="AN37" s="3" t="s">
        <v>3372</v>
      </c>
      <c r="AO37" s="3" t="s">
        <v>3413</v>
      </c>
      <c r="AP37" s="7" t="s">
        <v>1208</v>
      </c>
      <c r="AQ37" s="7">
        <f>VALUE(AP37)</f>
        <v>0.5333</v>
      </c>
      <c r="AR37" s="3" t="s">
        <v>1209</v>
      </c>
      <c r="AS37" s="10">
        <v>0.1648</v>
      </c>
      <c r="AT37" s="11">
        <f>VALUE(AS37)</f>
        <v>0.1648</v>
      </c>
      <c r="AU37" s="3" t="s">
        <v>1210</v>
      </c>
      <c r="AV37" s="12"/>
      <c r="AW37" s="3" t="s">
        <v>1211</v>
      </c>
      <c r="AX37" s="3" t="s">
        <v>1212</v>
      </c>
      <c r="AY37" s="3" t="s">
        <v>1044</v>
      </c>
      <c r="AZ37" s="3" t="s">
        <v>859</v>
      </c>
      <c r="BA37" s="3" t="s">
        <v>1213</v>
      </c>
      <c r="BB37" s="3" t="s">
        <v>1214</v>
      </c>
      <c r="BC37" s="3" t="s">
        <v>1215</v>
      </c>
      <c r="BD37" s="3" t="s">
        <v>1216</v>
      </c>
      <c r="BE37" s="3" t="s">
        <v>1217</v>
      </c>
      <c r="BF37" s="3" t="s">
        <v>766</v>
      </c>
      <c r="BG37" s="3" t="s">
        <v>1218</v>
      </c>
      <c r="BH37" s="3" t="s">
        <v>1219</v>
      </c>
      <c r="BI37" s="3" t="s">
        <v>1220</v>
      </c>
      <c r="BJ37" s="3" t="s">
        <v>424</v>
      </c>
      <c r="BK37" s="3" t="s">
        <v>1221</v>
      </c>
      <c r="BL37" s="3" t="s">
        <v>1222</v>
      </c>
      <c r="BM37" s="3" t="s">
        <v>1223</v>
      </c>
      <c r="BN37" s="3" t="s">
        <v>152</v>
      </c>
      <c r="BO37" s="3" t="s">
        <v>152</v>
      </c>
      <c r="BP37" s="3" t="s">
        <v>152</v>
      </c>
      <c r="BQ37" s="3">
        <v>140</v>
      </c>
      <c r="BR37" s="3">
        <v>220</v>
      </c>
      <c r="BS37" s="3">
        <v>72</v>
      </c>
      <c r="BT37" s="3">
        <v>1272</v>
      </c>
      <c r="BU37" s="3">
        <v>503</v>
      </c>
      <c r="BV37" s="3">
        <v>568</v>
      </c>
      <c r="BW37" s="3">
        <v>980</v>
      </c>
      <c r="BX37" s="3" t="s">
        <v>111</v>
      </c>
      <c r="BY37" s="3" t="s">
        <v>153</v>
      </c>
      <c r="BZ37" s="3">
        <v>0</v>
      </c>
      <c r="CA37" s="3" t="s">
        <v>111</v>
      </c>
      <c r="CB37" s="3" t="s">
        <v>111</v>
      </c>
      <c r="CC37" s="3" t="s">
        <v>1224</v>
      </c>
      <c r="CD37" s="3" t="s">
        <v>111</v>
      </c>
      <c r="CE37" s="3">
        <v>5022</v>
      </c>
    </row>
    <row r="38" spans="1:83" s="3" customFormat="1" x14ac:dyDescent="0.2">
      <c r="A38" s="3" t="s">
        <v>3407</v>
      </c>
      <c r="B38" s="5" t="s">
        <v>4726</v>
      </c>
      <c r="C38" s="8">
        <v>11</v>
      </c>
      <c r="D38" s="5" t="s">
        <v>4732</v>
      </c>
      <c r="E38" s="3" t="s">
        <v>3413</v>
      </c>
      <c r="F38" s="3">
        <v>17303</v>
      </c>
      <c r="G38" s="14">
        <v>44747.633333333331</v>
      </c>
      <c r="H38" s="14">
        <v>45159.623611111114</v>
      </c>
      <c r="I38" s="3" t="s">
        <v>2986</v>
      </c>
      <c r="J38" s="3" t="s">
        <v>111</v>
      </c>
      <c r="K38" s="3" t="s">
        <v>111</v>
      </c>
      <c r="L38" s="3" t="s">
        <v>111</v>
      </c>
      <c r="M38" s="3" t="s">
        <v>112</v>
      </c>
      <c r="N38" s="3" t="s">
        <v>2165</v>
      </c>
      <c r="O38" s="3" t="s">
        <v>2166</v>
      </c>
      <c r="P38" s="3">
        <v>36</v>
      </c>
      <c r="Q38" s="3" t="s">
        <v>2167</v>
      </c>
      <c r="R38" s="3" t="s">
        <v>114</v>
      </c>
      <c r="S38" s="3" t="s">
        <v>115</v>
      </c>
      <c r="T38" s="3" t="s">
        <v>116</v>
      </c>
      <c r="U38" s="3" t="s">
        <v>117</v>
      </c>
      <c r="V38" s="3" t="s">
        <v>118</v>
      </c>
      <c r="W38" s="7" t="s">
        <v>3040</v>
      </c>
      <c r="X38" s="3" t="s">
        <v>3041</v>
      </c>
      <c r="Y38" s="7" t="s">
        <v>2423</v>
      </c>
      <c r="Z38" s="3" t="s">
        <v>3042</v>
      </c>
      <c r="AA38" s="3" t="s">
        <v>3043</v>
      </c>
      <c r="AB38" s="3" t="s">
        <v>3044</v>
      </c>
      <c r="AC38" s="3" t="s">
        <v>3045</v>
      </c>
      <c r="AD38" s="3" t="s">
        <v>3046</v>
      </c>
      <c r="AE38" s="3" t="s">
        <v>3047</v>
      </c>
      <c r="AF38" s="3" t="s">
        <v>2345</v>
      </c>
      <c r="AG38" s="3" t="s">
        <v>3048</v>
      </c>
      <c r="AH38" s="3">
        <v>277.41140000000001</v>
      </c>
      <c r="AI38" s="3" t="s">
        <v>3049</v>
      </c>
      <c r="AJ38" s="3" t="s">
        <v>113</v>
      </c>
      <c r="AK38" s="3" t="s">
        <v>113</v>
      </c>
      <c r="AL38" s="3" t="s">
        <v>113</v>
      </c>
      <c r="AM38" s="3" t="s">
        <v>131</v>
      </c>
      <c r="AN38" s="3" t="s">
        <v>3407</v>
      </c>
      <c r="AO38" s="3" t="s">
        <v>3413</v>
      </c>
      <c r="AP38" s="7" t="s">
        <v>3050</v>
      </c>
      <c r="AQ38" s="7">
        <f t="shared" ref="AQ38:AQ43" si="6">VALUE(AP38)</f>
        <v>0.54190000000000005</v>
      </c>
      <c r="AR38" s="3" t="s">
        <v>3051</v>
      </c>
      <c r="AS38" s="10" t="s">
        <v>3052</v>
      </c>
      <c r="AT38" s="11">
        <f t="shared" ref="AT38:AT43" si="7">VALUE(AS38)</f>
        <v>0.19739999999999999</v>
      </c>
      <c r="AU38" s="3" t="s">
        <v>3053</v>
      </c>
      <c r="AV38" s="12"/>
      <c r="AW38" s="3" t="s">
        <v>3054</v>
      </c>
      <c r="AX38" s="3" t="s">
        <v>3055</v>
      </c>
      <c r="AY38" s="3" t="s">
        <v>1502</v>
      </c>
      <c r="AZ38" s="3" t="s">
        <v>3056</v>
      </c>
      <c r="BA38" s="3" t="s">
        <v>3057</v>
      </c>
      <c r="BB38" s="3" t="s">
        <v>3058</v>
      </c>
      <c r="BC38" s="3" t="s">
        <v>3059</v>
      </c>
      <c r="BD38" s="3" t="s">
        <v>2184</v>
      </c>
      <c r="BE38" s="3" t="s">
        <v>625</v>
      </c>
      <c r="BF38" s="3" t="s">
        <v>2886</v>
      </c>
      <c r="BG38" s="3" t="s">
        <v>3060</v>
      </c>
      <c r="BH38" s="3" t="s">
        <v>3061</v>
      </c>
      <c r="BI38" s="3" t="s">
        <v>3062</v>
      </c>
      <c r="BJ38" s="3" t="s">
        <v>2544</v>
      </c>
      <c r="BK38" s="3" t="s">
        <v>3063</v>
      </c>
      <c r="BL38" s="3" t="s">
        <v>3064</v>
      </c>
      <c r="BM38" s="3" t="s">
        <v>848</v>
      </c>
      <c r="BN38" s="3" t="s">
        <v>152</v>
      </c>
      <c r="BO38" s="3" t="s">
        <v>152</v>
      </c>
      <c r="BP38" s="3" t="s">
        <v>152</v>
      </c>
      <c r="BQ38" s="3">
        <v>188</v>
      </c>
      <c r="BR38" s="3">
        <v>172</v>
      </c>
      <c r="BS38" s="3">
        <v>80</v>
      </c>
      <c r="BT38" s="3">
        <v>1091</v>
      </c>
      <c r="BU38" s="3">
        <v>263</v>
      </c>
      <c r="BV38" s="3">
        <v>840</v>
      </c>
      <c r="BW38" s="3">
        <v>1126</v>
      </c>
      <c r="BX38" s="3" t="s">
        <v>153</v>
      </c>
      <c r="BY38" s="3" t="s">
        <v>153</v>
      </c>
      <c r="BZ38" s="3">
        <v>0</v>
      </c>
      <c r="CA38" s="3" t="s">
        <v>2990</v>
      </c>
      <c r="CB38" s="3" t="s">
        <v>111</v>
      </c>
      <c r="CC38" s="3" t="s">
        <v>2990</v>
      </c>
      <c r="CD38" s="3" t="s">
        <v>111</v>
      </c>
      <c r="CE38" s="3">
        <v>5022</v>
      </c>
    </row>
    <row r="39" spans="1:83" s="3" customFormat="1" x14ac:dyDescent="0.2">
      <c r="A39" s="3" t="s">
        <v>3408</v>
      </c>
      <c r="B39" s="5" t="s">
        <v>4726</v>
      </c>
      <c r="C39" s="8">
        <v>11</v>
      </c>
      <c r="D39" s="5" t="s">
        <v>4732</v>
      </c>
      <c r="E39" s="3" t="s">
        <v>3413</v>
      </c>
      <c r="F39" s="3">
        <v>17303</v>
      </c>
      <c r="G39" s="14">
        <v>44747.633333333331</v>
      </c>
      <c r="H39" s="14">
        <v>45159.62777777778</v>
      </c>
      <c r="I39" s="3" t="s">
        <v>2986</v>
      </c>
      <c r="J39" s="3" t="s">
        <v>111</v>
      </c>
      <c r="K39" s="3" t="s">
        <v>111</v>
      </c>
      <c r="L39" s="3" t="s">
        <v>111</v>
      </c>
      <c r="M39" s="3" t="s">
        <v>112</v>
      </c>
      <c r="N39" s="3" t="s">
        <v>2165</v>
      </c>
      <c r="O39" s="3" t="s">
        <v>2166</v>
      </c>
      <c r="P39" s="3">
        <v>36</v>
      </c>
      <c r="Q39" s="3" t="s">
        <v>2167</v>
      </c>
      <c r="R39" s="3" t="s">
        <v>114</v>
      </c>
      <c r="S39" s="3" t="s">
        <v>115</v>
      </c>
      <c r="T39" s="3" t="s">
        <v>116</v>
      </c>
      <c r="U39" s="3" t="s">
        <v>117</v>
      </c>
      <c r="V39" s="3" t="s">
        <v>118</v>
      </c>
      <c r="W39" s="7" t="s">
        <v>3065</v>
      </c>
      <c r="X39" s="3" t="s">
        <v>2597</v>
      </c>
      <c r="Y39" s="7" t="s">
        <v>1719</v>
      </c>
      <c r="Z39" s="3" t="s">
        <v>3066</v>
      </c>
      <c r="AA39" s="3" t="s">
        <v>3067</v>
      </c>
      <c r="AB39" s="3" t="s">
        <v>3068</v>
      </c>
      <c r="AC39" s="3" t="s">
        <v>2176</v>
      </c>
      <c r="AD39" s="3" t="s">
        <v>3069</v>
      </c>
      <c r="AE39" s="3" t="s">
        <v>3070</v>
      </c>
      <c r="AF39" s="3" t="s">
        <v>921</v>
      </c>
      <c r="AG39" s="3" t="s">
        <v>3071</v>
      </c>
      <c r="AH39" s="3">
        <v>314.69979999999998</v>
      </c>
      <c r="AI39" s="3" t="s">
        <v>3072</v>
      </c>
      <c r="AJ39" s="3" t="s">
        <v>113</v>
      </c>
      <c r="AK39" s="3" t="s">
        <v>113</v>
      </c>
      <c r="AL39" s="3" t="s">
        <v>113</v>
      </c>
      <c r="AM39" s="3" t="s">
        <v>131</v>
      </c>
      <c r="AN39" s="3" t="s">
        <v>3408</v>
      </c>
      <c r="AO39" s="3" t="s">
        <v>3413</v>
      </c>
      <c r="AP39" s="7" t="s">
        <v>3073</v>
      </c>
      <c r="AQ39" s="7">
        <f t="shared" si="6"/>
        <v>0.46550000000000002</v>
      </c>
      <c r="AR39" s="3" t="s">
        <v>3074</v>
      </c>
      <c r="AS39" s="10" t="s">
        <v>2900</v>
      </c>
      <c r="AT39" s="11">
        <f t="shared" si="7"/>
        <v>0.23910000000000001</v>
      </c>
      <c r="AU39" s="3" t="s">
        <v>3075</v>
      </c>
      <c r="AV39" s="12"/>
      <c r="AW39" s="3" t="s">
        <v>3076</v>
      </c>
      <c r="AX39" s="3" t="s">
        <v>3077</v>
      </c>
      <c r="AY39" s="3" t="s">
        <v>3078</v>
      </c>
      <c r="AZ39" s="3" t="s">
        <v>1037</v>
      </c>
      <c r="BA39" s="3" t="s">
        <v>3079</v>
      </c>
      <c r="BB39" s="3" t="s">
        <v>3080</v>
      </c>
      <c r="BC39" s="3" t="s">
        <v>3081</v>
      </c>
      <c r="BD39" s="3" t="s">
        <v>3082</v>
      </c>
      <c r="BE39" s="3" t="s">
        <v>3083</v>
      </c>
      <c r="BF39" s="3" t="s">
        <v>541</v>
      </c>
      <c r="BG39" s="3" t="s">
        <v>3084</v>
      </c>
      <c r="BH39" s="3" t="s">
        <v>3085</v>
      </c>
      <c r="BI39" s="3" t="s">
        <v>3086</v>
      </c>
      <c r="BJ39" s="3" t="s">
        <v>200</v>
      </c>
      <c r="BK39" s="3" t="s">
        <v>3087</v>
      </c>
      <c r="BL39" s="3" t="s">
        <v>3088</v>
      </c>
      <c r="BM39" s="3" t="s">
        <v>2995</v>
      </c>
      <c r="BN39" s="3" t="s">
        <v>152</v>
      </c>
      <c r="BO39" s="3" t="s">
        <v>152</v>
      </c>
      <c r="BP39" s="3" t="s">
        <v>152</v>
      </c>
      <c r="BQ39" s="3">
        <v>156</v>
      </c>
      <c r="BR39" s="3">
        <v>196</v>
      </c>
      <c r="BS39" s="3">
        <v>85</v>
      </c>
      <c r="BT39" s="3">
        <v>1437</v>
      </c>
      <c r="BU39" s="3">
        <v>482</v>
      </c>
      <c r="BV39" s="3">
        <v>655</v>
      </c>
      <c r="BW39" s="3">
        <v>1126</v>
      </c>
      <c r="BX39" s="3" t="s">
        <v>153</v>
      </c>
      <c r="BY39" s="3" t="s">
        <v>153</v>
      </c>
      <c r="BZ39" s="3">
        <v>0</v>
      </c>
      <c r="CA39" s="3" t="s">
        <v>2990</v>
      </c>
      <c r="CB39" s="3" t="s">
        <v>111</v>
      </c>
      <c r="CC39" s="3" t="s">
        <v>2990</v>
      </c>
      <c r="CD39" s="3" t="s">
        <v>111</v>
      </c>
      <c r="CE39" s="3">
        <v>5022</v>
      </c>
    </row>
    <row r="40" spans="1:83" s="3" customFormat="1" x14ac:dyDescent="0.2">
      <c r="A40" s="3" t="s">
        <v>3409</v>
      </c>
      <c r="B40" s="5" t="s">
        <v>4726</v>
      </c>
      <c r="C40" s="8">
        <v>11</v>
      </c>
      <c r="D40" s="5" t="s">
        <v>4732</v>
      </c>
      <c r="E40" s="3" t="s">
        <v>3413</v>
      </c>
      <c r="F40" s="3">
        <v>17303</v>
      </c>
      <c r="G40" s="14">
        <v>44747.633333333331</v>
      </c>
      <c r="H40" s="14">
        <v>45159.665277777778</v>
      </c>
      <c r="I40" s="3" t="s">
        <v>2986</v>
      </c>
      <c r="J40" s="3" t="s">
        <v>111</v>
      </c>
      <c r="K40" s="3" t="s">
        <v>111</v>
      </c>
      <c r="L40" s="3" t="s">
        <v>111</v>
      </c>
      <c r="M40" s="3" t="s">
        <v>112</v>
      </c>
      <c r="N40" s="3" t="s">
        <v>2165</v>
      </c>
      <c r="O40" s="3" t="s">
        <v>2166</v>
      </c>
      <c r="P40" s="3">
        <v>36</v>
      </c>
      <c r="Q40" s="3" t="s">
        <v>2167</v>
      </c>
      <c r="R40" s="3" t="s">
        <v>114</v>
      </c>
      <c r="S40" s="3" t="s">
        <v>115</v>
      </c>
      <c r="T40" s="3" t="s">
        <v>116</v>
      </c>
      <c r="U40" s="3" t="s">
        <v>117</v>
      </c>
      <c r="V40" s="3" t="s">
        <v>118</v>
      </c>
      <c r="W40" s="7" t="s">
        <v>3089</v>
      </c>
      <c r="X40" s="3" t="s">
        <v>1464</v>
      </c>
      <c r="Y40" s="7" t="s">
        <v>3090</v>
      </c>
      <c r="Z40" s="3" t="s">
        <v>3091</v>
      </c>
      <c r="AA40" s="3" t="s">
        <v>3092</v>
      </c>
      <c r="AB40" s="3" t="s">
        <v>3093</v>
      </c>
      <c r="AC40" s="3" t="s">
        <v>2874</v>
      </c>
      <c r="AD40" s="3" t="s">
        <v>3094</v>
      </c>
      <c r="AE40" s="3" t="s">
        <v>1232</v>
      </c>
      <c r="AF40" s="3" t="s">
        <v>2992</v>
      </c>
      <c r="AG40" s="3" t="s">
        <v>2629</v>
      </c>
      <c r="AH40" s="3">
        <v>271.52370000000002</v>
      </c>
      <c r="AI40" s="3" t="s">
        <v>3095</v>
      </c>
      <c r="AJ40" s="3" t="s">
        <v>113</v>
      </c>
      <c r="AK40" s="3" t="s">
        <v>113</v>
      </c>
      <c r="AL40" s="3" t="s">
        <v>113</v>
      </c>
      <c r="AM40" s="3" t="s">
        <v>131</v>
      </c>
      <c r="AN40" s="3" t="s">
        <v>3409</v>
      </c>
      <c r="AO40" s="3" t="s">
        <v>3413</v>
      </c>
      <c r="AP40" s="7" t="s">
        <v>3096</v>
      </c>
      <c r="AQ40" s="7">
        <f t="shared" si="6"/>
        <v>0.35199999999999998</v>
      </c>
      <c r="AR40" s="3" t="s">
        <v>2919</v>
      </c>
      <c r="AS40" s="10" t="s">
        <v>3097</v>
      </c>
      <c r="AT40" s="11">
        <f t="shared" si="7"/>
        <v>0.17879999999999999</v>
      </c>
      <c r="AU40" s="3" t="s">
        <v>3098</v>
      </c>
      <c r="AV40" s="12"/>
      <c r="AW40" s="3" t="s">
        <v>3099</v>
      </c>
      <c r="AX40" s="3" t="s">
        <v>3100</v>
      </c>
      <c r="AY40" s="3" t="s">
        <v>2199</v>
      </c>
      <c r="AZ40" s="3" t="s">
        <v>3101</v>
      </c>
      <c r="BA40" s="3" t="s">
        <v>3102</v>
      </c>
      <c r="BB40" s="3" t="s">
        <v>3103</v>
      </c>
      <c r="BC40" s="3" t="s">
        <v>3104</v>
      </c>
      <c r="BD40" s="3" t="s">
        <v>3105</v>
      </c>
      <c r="BE40" s="3" t="s">
        <v>493</v>
      </c>
      <c r="BF40" s="3" t="s">
        <v>3106</v>
      </c>
      <c r="BG40" s="3" t="s">
        <v>3107</v>
      </c>
      <c r="BH40" s="3" t="s">
        <v>3108</v>
      </c>
      <c r="BI40" s="3" t="s">
        <v>3109</v>
      </c>
      <c r="BJ40" s="3" t="s">
        <v>1189</v>
      </c>
      <c r="BK40" s="3" t="s">
        <v>3110</v>
      </c>
      <c r="BL40" s="3" t="s">
        <v>3111</v>
      </c>
      <c r="BM40" s="3" t="s">
        <v>3112</v>
      </c>
      <c r="BN40" s="3" t="s">
        <v>152</v>
      </c>
      <c r="BO40" s="3" t="s">
        <v>152</v>
      </c>
      <c r="BP40" s="3" t="s">
        <v>152</v>
      </c>
      <c r="BQ40" s="3">
        <v>184</v>
      </c>
      <c r="BR40" s="3">
        <v>152</v>
      </c>
      <c r="BS40" s="3">
        <v>74</v>
      </c>
      <c r="BT40" s="3">
        <v>1440</v>
      </c>
      <c r="BU40" s="3">
        <v>1095</v>
      </c>
      <c r="BV40" s="3">
        <v>561</v>
      </c>
      <c r="BW40" s="3">
        <v>1126</v>
      </c>
      <c r="BX40" s="3" t="s">
        <v>153</v>
      </c>
      <c r="BY40" s="3" t="s">
        <v>153</v>
      </c>
      <c r="BZ40" s="3">
        <v>0</v>
      </c>
      <c r="CA40" s="3" t="s">
        <v>2990</v>
      </c>
      <c r="CB40" s="3" t="s">
        <v>111</v>
      </c>
      <c r="CC40" s="3" t="s">
        <v>2990</v>
      </c>
      <c r="CD40" s="3" t="s">
        <v>111</v>
      </c>
      <c r="CE40" s="3">
        <v>5022</v>
      </c>
    </row>
    <row r="41" spans="1:83" s="3" customFormat="1" x14ac:dyDescent="0.2">
      <c r="A41" s="3" t="s">
        <v>3410</v>
      </c>
      <c r="B41" s="5" t="s">
        <v>4727</v>
      </c>
      <c r="C41" s="8">
        <v>11</v>
      </c>
      <c r="D41" s="5" t="s">
        <v>4732</v>
      </c>
      <c r="E41" s="3" t="s">
        <v>3413</v>
      </c>
      <c r="F41" s="3">
        <v>17303</v>
      </c>
      <c r="G41" s="14">
        <v>44747.633333333331</v>
      </c>
      <c r="H41" s="14">
        <v>45159.667361111111</v>
      </c>
      <c r="I41" s="3" t="s">
        <v>2986</v>
      </c>
      <c r="J41" s="3" t="s">
        <v>111</v>
      </c>
      <c r="K41" s="3" t="s">
        <v>111</v>
      </c>
      <c r="L41" s="3" t="s">
        <v>111</v>
      </c>
      <c r="M41" s="3" t="s">
        <v>112</v>
      </c>
      <c r="N41" s="3" t="s">
        <v>2165</v>
      </c>
      <c r="O41" s="3" t="s">
        <v>2166</v>
      </c>
      <c r="P41" s="3">
        <v>36</v>
      </c>
      <c r="Q41" s="3" t="s">
        <v>2167</v>
      </c>
      <c r="R41" s="3" t="s">
        <v>114</v>
      </c>
      <c r="S41" s="3" t="s">
        <v>115</v>
      </c>
      <c r="T41" s="3" t="s">
        <v>116</v>
      </c>
      <c r="U41" s="3" t="s">
        <v>117</v>
      </c>
      <c r="V41" s="3" t="s">
        <v>118</v>
      </c>
      <c r="W41" s="7" t="s">
        <v>3113</v>
      </c>
      <c r="X41" s="3" t="s">
        <v>1704</v>
      </c>
      <c r="Y41" s="7" t="s">
        <v>3114</v>
      </c>
      <c r="Z41" s="3" t="s">
        <v>3115</v>
      </c>
      <c r="AA41" s="3" t="s">
        <v>3116</v>
      </c>
      <c r="AB41" s="3" t="s">
        <v>3117</v>
      </c>
      <c r="AC41" s="3" t="s">
        <v>297</v>
      </c>
      <c r="AD41" s="3" t="s">
        <v>595</v>
      </c>
      <c r="AE41" s="3" t="s">
        <v>1910</v>
      </c>
      <c r="AF41" s="3" t="s">
        <v>3118</v>
      </c>
      <c r="AG41" s="3" t="s">
        <v>3119</v>
      </c>
      <c r="AH41" s="3">
        <v>330.54559999999998</v>
      </c>
      <c r="AI41" s="3" t="s">
        <v>3120</v>
      </c>
      <c r="AJ41" s="3" t="s">
        <v>113</v>
      </c>
      <c r="AK41" s="3" t="s">
        <v>113</v>
      </c>
      <c r="AL41" s="3" t="s">
        <v>113</v>
      </c>
      <c r="AM41" s="3" t="s">
        <v>131</v>
      </c>
      <c r="AN41" s="3" t="s">
        <v>3410</v>
      </c>
      <c r="AO41" s="3" t="s">
        <v>3413</v>
      </c>
      <c r="AP41" s="7" t="s">
        <v>3121</v>
      </c>
      <c r="AQ41" s="7">
        <f t="shared" si="6"/>
        <v>0.54800000000000004</v>
      </c>
      <c r="AR41" s="3" t="s">
        <v>3122</v>
      </c>
      <c r="AS41" s="10" t="s">
        <v>3123</v>
      </c>
      <c r="AT41" s="11">
        <f t="shared" si="7"/>
        <v>0.27600000000000002</v>
      </c>
      <c r="AU41" s="3" t="s">
        <v>3124</v>
      </c>
      <c r="AV41" s="12"/>
      <c r="AW41" s="3" t="s">
        <v>3125</v>
      </c>
      <c r="AX41" s="3" t="s">
        <v>3126</v>
      </c>
      <c r="AY41" s="3" t="s">
        <v>3078</v>
      </c>
      <c r="AZ41" s="3" t="s">
        <v>617</v>
      </c>
      <c r="BA41" s="3" t="s">
        <v>3127</v>
      </c>
      <c r="BB41" s="3" t="s">
        <v>403</v>
      </c>
      <c r="BC41" s="3" t="s">
        <v>650</v>
      </c>
      <c r="BD41" s="3" t="s">
        <v>261</v>
      </c>
      <c r="BE41" s="3" t="s">
        <v>3128</v>
      </c>
      <c r="BF41" s="3" t="s">
        <v>2701</v>
      </c>
      <c r="BG41" s="3" t="s">
        <v>3129</v>
      </c>
      <c r="BH41" s="3" t="s">
        <v>1794</v>
      </c>
      <c r="BI41" s="3" t="s">
        <v>3130</v>
      </c>
      <c r="BJ41" s="3" t="s">
        <v>2503</v>
      </c>
      <c r="BK41" s="3" t="s">
        <v>3131</v>
      </c>
      <c r="BL41" s="3" t="s">
        <v>3132</v>
      </c>
      <c r="BM41" s="3" t="s">
        <v>2189</v>
      </c>
      <c r="BN41" s="3" t="s">
        <v>152</v>
      </c>
      <c r="BO41" s="3" t="s">
        <v>152</v>
      </c>
      <c r="BP41" s="3" t="s">
        <v>152</v>
      </c>
      <c r="BQ41" s="3">
        <v>160</v>
      </c>
      <c r="BR41" s="3">
        <v>208</v>
      </c>
      <c r="BS41" s="3">
        <v>72</v>
      </c>
      <c r="BT41" s="3">
        <v>1054</v>
      </c>
      <c r="BU41" s="3">
        <v>1551</v>
      </c>
      <c r="BV41" s="3">
        <v>588</v>
      </c>
      <c r="BW41" s="3">
        <v>1126</v>
      </c>
      <c r="BX41" s="3" t="s">
        <v>153</v>
      </c>
      <c r="BY41" s="3" t="s">
        <v>153</v>
      </c>
      <c r="BZ41" s="3">
        <v>0</v>
      </c>
      <c r="CA41" s="3" t="s">
        <v>2990</v>
      </c>
      <c r="CB41" s="3" t="s">
        <v>111</v>
      </c>
      <c r="CC41" s="3" t="s">
        <v>2990</v>
      </c>
      <c r="CD41" s="3" t="s">
        <v>111</v>
      </c>
      <c r="CE41" s="3">
        <v>5022</v>
      </c>
    </row>
    <row r="42" spans="1:83" s="3" customFormat="1" x14ac:dyDescent="0.2">
      <c r="A42" s="3" t="s">
        <v>3411</v>
      </c>
      <c r="B42" s="5" t="s">
        <v>4727</v>
      </c>
      <c r="C42" s="8">
        <v>11</v>
      </c>
      <c r="D42" s="5" t="s">
        <v>4732</v>
      </c>
      <c r="E42" s="3" t="s">
        <v>3413</v>
      </c>
      <c r="F42" s="3">
        <v>17303</v>
      </c>
      <c r="G42" s="14">
        <v>44747.633333333331</v>
      </c>
      <c r="H42" s="14">
        <v>45159.670138888891</v>
      </c>
      <c r="I42" s="3" t="s">
        <v>2986</v>
      </c>
      <c r="J42" s="3" t="s">
        <v>111</v>
      </c>
      <c r="K42" s="3" t="s">
        <v>111</v>
      </c>
      <c r="L42" s="3" t="s">
        <v>111</v>
      </c>
      <c r="M42" s="3" t="s">
        <v>112</v>
      </c>
      <c r="N42" s="3" t="s">
        <v>2165</v>
      </c>
      <c r="O42" s="3" t="s">
        <v>2166</v>
      </c>
      <c r="P42" s="3">
        <v>36</v>
      </c>
      <c r="Q42" s="3" t="s">
        <v>2167</v>
      </c>
      <c r="R42" s="3" t="s">
        <v>114</v>
      </c>
      <c r="S42" s="3" t="s">
        <v>115</v>
      </c>
      <c r="T42" s="3" t="s">
        <v>116</v>
      </c>
      <c r="U42" s="3" t="s">
        <v>117</v>
      </c>
      <c r="V42" s="3" t="s">
        <v>118</v>
      </c>
      <c r="W42" s="7" t="s">
        <v>3133</v>
      </c>
      <c r="X42" s="3" t="s">
        <v>1306</v>
      </c>
      <c r="Y42" s="7" t="s">
        <v>3134</v>
      </c>
      <c r="Z42" s="3" t="s">
        <v>3135</v>
      </c>
      <c r="AA42" s="3" t="s">
        <v>3136</v>
      </c>
      <c r="AB42" s="3" t="s">
        <v>3137</v>
      </c>
      <c r="AC42" s="3" t="s">
        <v>503</v>
      </c>
      <c r="AD42" s="3" t="s">
        <v>3138</v>
      </c>
      <c r="AE42" s="3" t="s">
        <v>1890</v>
      </c>
      <c r="AF42" s="3" t="s">
        <v>1013</v>
      </c>
      <c r="AG42" s="3" t="s">
        <v>2797</v>
      </c>
      <c r="AH42" s="3">
        <v>325.53019999999998</v>
      </c>
      <c r="AI42" s="3" t="s">
        <v>3139</v>
      </c>
      <c r="AJ42" s="3" t="s">
        <v>113</v>
      </c>
      <c r="AK42" s="3" t="s">
        <v>113</v>
      </c>
      <c r="AL42" s="3" t="s">
        <v>113</v>
      </c>
      <c r="AM42" s="3" t="s">
        <v>131</v>
      </c>
      <c r="AN42" s="3" t="s">
        <v>3411</v>
      </c>
      <c r="AO42" s="3" t="s">
        <v>3413</v>
      </c>
      <c r="AP42" s="7" t="s">
        <v>3140</v>
      </c>
      <c r="AQ42" s="7">
        <f t="shared" si="6"/>
        <v>0.4481</v>
      </c>
      <c r="AR42" s="3" t="s">
        <v>3141</v>
      </c>
      <c r="AS42" s="10" t="s">
        <v>915</v>
      </c>
      <c r="AT42" s="11">
        <f t="shared" si="7"/>
        <v>0.28050000000000003</v>
      </c>
      <c r="AU42" s="3" t="s">
        <v>3142</v>
      </c>
      <c r="AV42" s="12"/>
      <c r="AW42" s="3" t="s">
        <v>3143</v>
      </c>
      <c r="AX42" s="3" t="s">
        <v>1063</v>
      </c>
      <c r="AY42" s="3" t="s">
        <v>3144</v>
      </c>
      <c r="AZ42" s="3" t="s">
        <v>2723</v>
      </c>
      <c r="BA42" s="3" t="s">
        <v>3145</v>
      </c>
      <c r="BB42" s="3" t="s">
        <v>3146</v>
      </c>
      <c r="BC42" s="3" t="s">
        <v>3147</v>
      </c>
      <c r="BD42" s="3" t="s">
        <v>1655</v>
      </c>
      <c r="BE42" s="3" t="s">
        <v>3148</v>
      </c>
      <c r="BF42" s="3" t="s">
        <v>2190</v>
      </c>
      <c r="BG42" s="3" t="s">
        <v>3149</v>
      </c>
      <c r="BH42" s="3" t="s">
        <v>3150</v>
      </c>
      <c r="BI42" s="3" t="s">
        <v>3151</v>
      </c>
      <c r="BJ42" s="3" t="s">
        <v>2450</v>
      </c>
      <c r="BK42" s="3" t="s">
        <v>3152</v>
      </c>
      <c r="BL42" s="3" t="s">
        <v>3153</v>
      </c>
      <c r="BM42" s="3" t="s">
        <v>3154</v>
      </c>
      <c r="BN42" s="3" t="s">
        <v>152</v>
      </c>
      <c r="BO42" s="3" t="s">
        <v>152</v>
      </c>
      <c r="BP42" s="3" t="s">
        <v>152</v>
      </c>
      <c r="BQ42" s="3">
        <v>208</v>
      </c>
      <c r="BR42" s="3">
        <v>164</v>
      </c>
      <c r="BS42" s="3">
        <v>82</v>
      </c>
      <c r="BT42" s="3">
        <v>595</v>
      </c>
      <c r="BU42" s="3">
        <v>1564</v>
      </c>
      <c r="BV42" s="3">
        <v>731</v>
      </c>
      <c r="BW42" s="3">
        <v>1126</v>
      </c>
      <c r="BX42" s="3" t="s">
        <v>153</v>
      </c>
      <c r="BY42" s="3" t="s">
        <v>153</v>
      </c>
      <c r="BZ42" s="3">
        <v>0</v>
      </c>
      <c r="CA42" s="3" t="s">
        <v>2990</v>
      </c>
      <c r="CB42" s="3" t="s">
        <v>111</v>
      </c>
      <c r="CC42" s="3" t="s">
        <v>2990</v>
      </c>
      <c r="CD42" s="3" t="s">
        <v>111</v>
      </c>
      <c r="CE42" s="3">
        <v>5022</v>
      </c>
    </row>
    <row r="43" spans="1:83" s="3" customFormat="1" x14ac:dyDescent="0.2">
      <c r="A43" s="3" t="s">
        <v>3412</v>
      </c>
      <c r="B43" s="5" t="s">
        <v>4727</v>
      </c>
      <c r="C43" s="8">
        <v>11</v>
      </c>
      <c r="D43" s="5" t="s">
        <v>4732</v>
      </c>
      <c r="E43" s="3" t="s">
        <v>3413</v>
      </c>
      <c r="F43" s="3">
        <v>17303</v>
      </c>
      <c r="G43" s="14">
        <v>44747.633333333331</v>
      </c>
      <c r="H43" s="14">
        <v>45159.673611111109</v>
      </c>
      <c r="I43" s="3" t="s">
        <v>2986</v>
      </c>
      <c r="J43" s="3" t="s">
        <v>111</v>
      </c>
      <c r="K43" s="3" t="s">
        <v>111</v>
      </c>
      <c r="L43" s="3" t="s">
        <v>111</v>
      </c>
      <c r="M43" s="3" t="s">
        <v>112</v>
      </c>
      <c r="N43" s="3" t="s">
        <v>2165</v>
      </c>
      <c r="O43" s="3" t="s">
        <v>2166</v>
      </c>
      <c r="P43" s="3">
        <v>36</v>
      </c>
      <c r="Q43" s="3" t="s">
        <v>2167</v>
      </c>
      <c r="R43" s="3" t="s">
        <v>114</v>
      </c>
      <c r="S43" s="3" t="s">
        <v>115</v>
      </c>
      <c r="T43" s="3" t="s">
        <v>116</v>
      </c>
      <c r="U43" s="3" t="s">
        <v>117</v>
      </c>
      <c r="V43" s="3" t="s">
        <v>118</v>
      </c>
      <c r="W43" s="7" t="s">
        <v>3155</v>
      </c>
      <c r="X43" s="3" t="s">
        <v>1781</v>
      </c>
      <c r="Y43" s="7" t="s">
        <v>3156</v>
      </c>
      <c r="Z43" s="3" t="s">
        <v>3157</v>
      </c>
      <c r="AA43" s="3" t="s">
        <v>3158</v>
      </c>
      <c r="AB43" s="3" t="s">
        <v>3159</v>
      </c>
      <c r="AC43" s="3" t="s">
        <v>2484</v>
      </c>
      <c r="AD43" s="3" t="s">
        <v>2598</v>
      </c>
      <c r="AE43" s="3" t="s">
        <v>3160</v>
      </c>
      <c r="AF43" s="3" t="s">
        <v>189</v>
      </c>
      <c r="AG43" s="3" t="s">
        <v>3161</v>
      </c>
      <c r="AH43" s="3">
        <v>283.95319999999998</v>
      </c>
      <c r="AI43" s="3" t="s">
        <v>3162</v>
      </c>
      <c r="AJ43" s="3" t="s">
        <v>113</v>
      </c>
      <c r="AK43" s="3" t="s">
        <v>113</v>
      </c>
      <c r="AL43" s="3" t="s">
        <v>113</v>
      </c>
      <c r="AM43" s="3" t="s">
        <v>131</v>
      </c>
      <c r="AN43" s="3" t="s">
        <v>3412</v>
      </c>
      <c r="AO43" s="3" t="s">
        <v>3413</v>
      </c>
      <c r="AP43" s="7" t="s">
        <v>2172</v>
      </c>
      <c r="AQ43" s="7">
        <f t="shared" si="6"/>
        <v>0.44890000000000002</v>
      </c>
      <c r="AR43" s="3" t="s">
        <v>3163</v>
      </c>
      <c r="AS43" s="10" t="s">
        <v>2996</v>
      </c>
      <c r="AT43" s="11">
        <f t="shared" si="7"/>
        <v>0.2177</v>
      </c>
      <c r="AU43" s="3" t="s">
        <v>3164</v>
      </c>
      <c r="AV43" s="12"/>
      <c r="AW43" s="3" t="s">
        <v>3165</v>
      </c>
      <c r="AX43" s="3" t="s">
        <v>3166</v>
      </c>
      <c r="AY43" s="3" t="s">
        <v>3167</v>
      </c>
      <c r="AZ43" s="3" t="s">
        <v>1933</v>
      </c>
      <c r="BA43" s="3" t="s">
        <v>3168</v>
      </c>
      <c r="BB43" s="3" t="s">
        <v>3064</v>
      </c>
      <c r="BC43" s="3" t="s">
        <v>3169</v>
      </c>
      <c r="BD43" s="3" t="s">
        <v>3170</v>
      </c>
      <c r="BE43" s="3" t="s">
        <v>3171</v>
      </c>
      <c r="BF43" s="3" t="s">
        <v>3172</v>
      </c>
      <c r="BG43" s="3" t="s">
        <v>529</v>
      </c>
      <c r="BH43" s="3" t="s">
        <v>3173</v>
      </c>
      <c r="BI43" s="3" t="s">
        <v>3174</v>
      </c>
      <c r="BJ43" s="3" t="s">
        <v>3175</v>
      </c>
      <c r="BK43" s="3" t="s">
        <v>3176</v>
      </c>
      <c r="BL43" s="3" t="s">
        <v>3177</v>
      </c>
      <c r="BM43" s="3" t="s">
        <v>3178</v>
      </c>
      <c r="BN43" s="3" t="s">
        <v>152</v>
      </c>
      <c r="BO43" s="3" t="s">
        <v>152</v>
      </c>
      <c r="BP43" s="3" t="s">
        <v>152</v>
      </c>
      <c r="BQ43" s="3">
        <v>192</v>
      </c>
      <c r="BR43" s="3">
        <v>144</v>
      </c>
      <c r="BS43" s="3">
        <v>72</v>
      </c>
      <c r="BT43" s="3">
        <v>177</v>
      </c>
      <c r="BU43" s="3">
        <v>1187</v>
      </c>
      <c r="BV43" s="3">
        <v>438</v>
      </c>
      <c r="BW43" s="3">
        <v>1126</v>
      </c>
      <c r="BX43" s="3" t="s">
        <v>153</v>
      </c>
      <c r="BY43" s="3" t="s">
        <v>153</v>
      </c>
      <c r="BZ43" s="3">
        <v>0</v>
      </c>
      <c r="CA43" s="3" t="s">
        <v>2990</v>
      </c>
      <c r="CB43" s="3" t="s">
        <v>111</v>
      </c>
      <c r="CC43" s="3" t="s">
        <v>2990</v>
      </c>
      <c r="CD43" s="3" t="s">
        <v>111</v>
      </c>
      <c r="CE43" s="3">
        <v>5022</v>
      </c>
    </row>
    <row r="44" spans="1:83" s="3" customFormat="1" x14ac:dyDescent="0.2">
      <c r="B44" s="8"/>
      <c r="C44" s="8"/>
      <c r="D44" s="5"/>
      <c r="W44" s="7"/>
      <c r="Y44" s="7"/>
      <c r="AP44" s="7"/>
      <c r="AQ44" s="7"/>
      <c r="AS44" s="10"/>
      <c r="AT44" s="11"/>
      <c r="AV44" s="12"/>
    </row>
    <row r="45" spans="1:83" s="3" customFormat="1" ht="16" x14ac:dyDescent="0.2">
      <c r="B45" s="4"/>
      <c r="C45" s="4"/>
      <c r="D45" s="5"/>
      <c r="W45" s="7"/>
      <c r="Y45" s="7"/>
      <c r="AP45" s="7"/>
      <c r="AQ45" s="7"/>
      <c r="AS45" s="10"/>
      <c r="AT45" s="11"/>
      <c r="AV45" s="12"/>
    </row>
    <row r="46" spans="1:83" s="3" customFormat="1" x14ac:dyDescent="0.2">
      <c r="A46" s="3" t="s">
        <v>3395</v>
      </c>
      <c r="B46" s="5" t="s">
        <v>4726</v>
      </c>
      <c r="C46" s="8">
        <v>11</v>
      </c>
      <c r="D46" s="5" t="s">
        <v>4733</v>
      </c>
      <c r="E46" s="3" t="s">
        <v>3413</v>
      </c>
      <c r="F46" s="3">
        <v>17301</v>
      </c>
      <c r="G46" s="14">
        <v>44747.459027777775</v>
      </c>
      <c r="H46" s="14">
        <v>45156.548611111109</v>
      </c>
      <c r="I46" s="3" t="s">
        <v>2164</v>
      </c>
      <c r="J46" s="3" t="s">
        <v>111</v>
      </c>
      <c r="K46" s="3" t="s">
        <v>111</v>
      </c>
      <c r="L46" s="3" t="s">
        <v>111</v>
      </c>
      <c r="M46" s="3" t="s">
        <v>112</v>
      </c>
      <c r="N46" s="3" t="s">
        <v>2165</v>
      </c>
      <c r="O46" s="3" t="s">
        <v>2166</v>
      </c>
      <c r="P46" s="3">
        <v>36</v>
      </c>
      <c r="Q46" s="3" t="s">
        <v>2167</v>
      </c>
      <c r="R46" s="3" t="s">
        <v>114</v>
      </c>
      <c r="S46" s="3" t="s">
        <v>115</v>
      </c>
      <c r="T46" s="3" t="s">
        <v>116</v>
      </c>
      <c r="U46" s="3" t="s">
        <v>117</v>
      </c>
      <c r="V46" s="3" t="s">
        <v>118</v>
      </c>
      <c r="W46" s="7" t="s">
        <v>2353</v>
      </c>
      <c r="X46" s="3" t="s">
        <v>2136</v>
      </c>
      <c r="Y46" s="7" t="s">
        <v>2354</v>
      </c>
      <c r="Z46" s="3" t="s">
        <v>2355</v>
      </c>
      <c r="AA46" s="3" t="s">
        <v>2356</v>
      </c>
      <c r="AB46" s="3" t="s">
        <v>2357</v>
      </c>
      <c r="AC46" s="3" t="s">
        <v>2358</v>
      </c>
      <c r="AD46" s="3" t="s">
        <v>2359</v>
      </c>
      <c r="AE46" s="3" t="s">
        <v>2360</v>
      </c>
      <c r="AF46" s="3" t="s">
        <v>2361</v>
      </c>
      <c r="AG46" s="3" t="s">
        <v>2362</v>
      </c>
      <c r="AH46" s="3">
        <v>194.18469999999999</v>
      </c>
      <c r="AI46" s="3" t="s">
        <v>2363</v>
      </c>
      <c r="AJ46" s="3" t="s">
        <v>113</v>
      </c>
      <c r="AK46" s="3" t="s">
        <v>113</v>
      </c>
      <c r="AL46" s="3" t="s">
        <v>113</v>
      </c>
      <c r="AM46" s="3" t="s">
        <v>131</v>
      </c>
      <c r="AN46" s="3" t="s">
        <v>3395</v>
      </c>
      <c r="AO46" s="3" t="s">
        <v>3413</v>
      </c>
      <c r="AP46" s="7" t="s">
        <v>573</v>
      </c>
      <c r="AQ46" s="7">
        <f t="shared" ref="AQ46:AQ51" si="8">VALUE(AP46)</f>
        <v>0.2281</v>
      </c>
      <c r="AR46" s="3" t="s">
        <v>2364</v>
      </c>
      <c r="AS46" s="10" t="s">
        <v>895</v>
      </c>
      <c r="AT46" s="11">
        <f t="shared" ref="AT46:AT51" si="9">VALUE(AS46)</f>
        <v>9.9599999999999994E-2</v>
      </c>
      <c r="AU46" s="3" t="s">
        <v>2365</v>
      </c>
      <c r="AV46" s="12"/>
      <c r="AW46" s="3" t="s">
        <v>2366</v>
      </c>
      <c r="AX46" s="3" t="s">
        <v>2367</v>
      </c>
      <c r="AY46" s="3" t="s">
        <v>2368</v>
      </c>
      <c r="AZ46" s="3" t="s">
        <v>2369</v>
      </c>
      <c r="BA46" s="3" t="s">
        <v>2370</v>
      </c>
      <c r="BB46" s="3" t="s">
        <v>2371</v>
      </c>
      <c r="BC46" s="3" t="s">
        <v>2372</v>
      </c>
      <c r="BD46" s="3" t="s">
        <v>2373</v>
      </c>
      <c r="BE46" s="3" t="s">
        <v>2374</v>
      </c>
      <c r="BF46" s="3" t="s">
        <v>2375</v>
      </c>
      <c r="BG46" s="3" t="s">
        <v>2376</v>
      </c>
      <c r="BH46" s="3" t="s">
        <v>2377</v>
      </c>
      <c r="BI46" s="3" t="s">
        <v>1565</v>
      </c>
      <c r="BJ46" s="3" t="s">
        <v>1540</v>
      </c>
      <c r="BK46" s="3" t="s">
        <v>1592</v>
      </c>
      <c r="BL46" s="3" t="s">
        <v>2378</v>
      </c>
      <c r="BM46" s="3" t="s">
        <v>2379</v>
      </c>
      <c r="BN46" s="3" t="s">
        <v>152</v>
      </c>
      <c r="BO46" s="3" t="s">
        <v>152</v>
      </c>
      <c r="BP46" s="3" t="s">
        <v>152</v>
      </c>
      <c r="BQ46" s="3">
        <v>120</v>
      </c>
      <c r="BR46" s="3">
        <v>192</v>
      </c>
      <c r="BS46" s="3">
        <v>85</v>
      </c>
      <c r="BT46" s="3">
        <v>711</v>
      </c>
      <c r="BU46" s="3">
        <v>1607</v>
      </c>
      <c r="BV46" s="3">
        <v>815</v>
      </c>
      <c r="BW46" s="3">
        <v>1126</v>
      </c>
      <c r="BX46" s="3" t="s">
        <v>153</v>
      </c>
      <c r="BY46" s="3" t="s">
        <v>153</v>
      </c>
      <c r="BZ46" s="3">
        <v>0</v>
      </c>
      <c r="CA46" s="3" t="s">
        <v>2171</v>
      </c>
      <c r="CB46" s="3" t="s">
        <v>111</v>
      </c>
      <c r="CC46" s="3" t="s">
        <v>2171</v>
      </c>
      <c r="CD46" s="3" t="s">
        <v>111</v>
      </c>
      <c r="CE46" s="3">
        <v>5022</v>
      </c>
    </row>
    <row r="47" spans="1:83" s="3" customFormat="1" x14ac:dyDescent="0.2">
      <c r="A47" s="3" t="s">
        <v>3396</v>
      </c>
      <c r="B47" s="5" t="s">
        <v>4726</v>
      </c>
      <c r="C47" s="8">
        <v>11</v>
      </c>
      <c r="D47" s="5" t="s">
        <v>4733</v>
      </c>
      <c r="E47" s="3" t="s">
        <v>3413</v>
      </c>
      <c r="F47" s="3">
        <v>17301</v>
      </c>
      <c r="G47" s="14">
        <v>44747.459027777775</v>
      </c>
      <c r="H47" s="14">
        <v>45156.554861111108</v>
      </c>
      <c r="I47" s="3" t="s">
        <v>2164</v>
      </c>
      <c r="J47" s="3" t="s">
        <v>111</v>
      </c>
      <c r="K47" s="3" t="s">
        <v>111</v>
      </c>
      <c r="L47" s="3" t="s">
        <v>111</v>
      </c>
      <c r="M47" s="3" t="s">
        <v>112</v>
      </c>
      <c r="N47" s="3" t="s">
        <v>2165</v>
      </c>
      <c r="O47" s="3" t="s">
        <v>2166</v>
      </c>
      <c r="P47" s="3">
        <v>36</v>
      </c>
      <c r="Q47" s="3" t="s">
        <v>2167</v>
      </c>
      <c r="R47" s="3" t="s">
        <v>114</v>
      </c>
      <c r="S47" s="3" t="s">
        <v>115</v>
      </c>
      <c r="T47" s="3" t="s">
        <v>116</v>
      </c>
      <c r="U47" s="3" t="s">
        <v>117</v>
      </c>
      <c r="V47" s="3" t="s">
        <v>118</v>
      </c>
      <c r="W47" s="7" t="s">
        <v>2380</v>
      </c>
      <c r="X47" s="3" t="s">
        <v>2381</v>
      </c>
      <c r="Y47" s="7" t="s">
        <v>2382</v>
      </c>
      <c r="Z47" s="3" t="s">
        <v>2383</v>
      </c>
      <c r="AA47" s="3" t="s">
        <v>2384</v>
      </c>
      <c r="AB47" s="3" t="s">
        <v>2385</v>
      </c>
      <c r="AC47" s="3" t="s">
        <v>1464</v>
      </c>
      <c r="AD47" s="3" t="s">
        <v>2386</v>
      </c>
      <c r="AE47" s="3" t="s">
        <v>1922</v>
      </c>
      <c r="AF47" s="3" t="s">
        <v>205</v>
      </c>
      <c r="AG47" s="3" t="s">
        <v>2387</v>
      </c>
      <c r="AH47" s="3">
        <v>191.27719999999999</v>
      </c>
      <c r="AI47" s="3" t="s">
        <v>2388</v>
      </c>
      <c r="AJ47" s="3" t="s">
        <v>113</v>
      </c>
      <c r="AK47" s="3" t="s">
        <v>113</v>
      </c>
      <c r="AL47" s="3" t="s">
        <v>113</v>
      </c>
      <c r="AM47" s="3" t="s">
        <v>131</v>
      </c>
      <c r="AN47" s="3" t="s">
        <v>3396</v>
      </c>
      <c r="AO47" s="3" t="s">
        <v>3413</v>
      </c>
      <c r="AP47" s="7" t="s">
        <v>2389</v>
      </c>
      <c r="AQ47" s="7">
        <f t="shared" si="8"/>
        <v>0.44919999999999999</v>
      </c>
      <c r="AR47" s="3" t="s">
        <v>1845</v>
      </c>
      <c r="AS47" s="10" t="s">
        <v>2390</v>
      </c>
      <c r="AT47" s="11">
        <f t="shared" si="9"/>
        <v>0.1038</v>
      </c>
      <c r="AU47" s="3" t="s">
        <v>2391</v>
      </c>
      <c r="AV47" s="12"/>
      <c r="AW47" s="3" t="s">
        <v>2392</v>
      </c>
      <c r="AX47" s="3" t="s">
        <v>2393</v>
      </c>
      <c r="AY47" s="3" t="s">
        <v>2394</v>
      </c>
      <c r="AZ47" s="3" t="s">
        <v>1525</v>
      </c>
      <c r="BA47" s="3" t="s">
        <v>2395</v>
      </c>
      <c r="BB47" s="3" t="s">
        <v>2396</v>
      </c>
      <c r="BC47" s="3" t="s">
        <v>2397</v>
      </c>
      <c r="BD47" s="3" t="s">
        <v>2398</v>
      </c>
      <c r="BE47" s="3" t="s">
        <v>2399</v>
      </c>
      <c r="BF47" s="3" t="s">
        <v>2400</v>
      </c>
      <c r="BG47" s="3" t="s">
        <v>2401</v>
      </c>
      <c r="BH47" s="3" t="s">
        <v>2402</v>
      </c>
      <c r="BI47" s="3" t="s">
        <v>2403</v>
      </c>
      <c r="BJ47" s="3" t="s">
        <v>781</v>
      </c>
      <c r="BK47" s="3" t="s">
        <v>2404</v>
      </c>
      <c r="BL47" s="3" t="s">
        <v>2405</v>
      </c>
      <c r="BM47" s="3" t="s">
        <v>2406</v>
      </c>
      <c r="BN47" s="3" t="s">
        <v>152</v>
      </c>
      <c r="BO47" s="3" t="s">
        <v>152</v>
      </c>
      <c r="BP47" s="3" t="s">
        <v>152</v>
      </c>
      <c r="BQ47" s="3">
        <v>148</v>
      </c>
      <c r="BR47" s="3">
        <v>176</v>
      </c>
      <c r="BS47" s="3">
        <v>71</v>
      </c>
      <c r="BT47" s="3">
        <v>147</v>
      </c>
      <c r="BU47" s="3">
        <v>1299</v>
      </c>
      <c r="BV47" s="3">
        <v>241</v>
      </c>
      <c r="BW47" s="3">
        <v>1126</v>
      </c>
      <c r="BX47" s="3" t="s">
        <v>153</v>
      </c>
      <c r="BY47" s="3" t="s">
        <v>153</v>
      </c>
      <c r="BZ47" s="3">
        <v>0</v>
      </c>
      <c r="CA47" s="3" t="s">
        <v>2171</v>
      </c>
      <c r="CB47" s="3" t="s">
        <v>111</v>
      </c>
      <c r="CC47" s="3" t="s">
        <v>2171</v>
      </c>
      <c r="CD47" s="3" t="s">
        <v>111</v>
      </c>
      <c r="CE47" s="3">
        <v>5022</v>
      </c>
    </row>
    <row r="48" spans="1:83" s="3" customFormat="1" x14ac:dyDescent="0.2">
      <c r="A48" s="3" t="s">
        <v>3397</v>
      </c>
      <c r="B48" s="5" t="s">
        <v>4726</v>
      </c>
      <c r="C48" s="8">
        <v>11</v>
      </c>
      <c r="D48" s="5" t="s">
        <v>4733</v>
      </c>
      <c r="E48" s="3" t="s">
        <v>3413</v>
      </c>
      <c r="F48" s="3">
        <v>17302</v>
      </c>
      <c r="G48" s="14">
        <v>44747.53125</v>
      </c>
      <c r="H48" s="14">
        <v>45156.75</v>
      </c>
      <c r="I48" s="3" t="s">
        <v>2591</v>
      </c>
      <c r="J48" s="3" t="s">
        <v>111</v>
      </c>
      <c r="K48" s="3" t="s">
        <v>111</v>
      </c>
      <c r="L48" s="3" t="s">
        <v>111</v>
      </c>
      <c r="M48" s="3" t="s">
        <v>112</v>
      </c>
      <c r="N48" s="3" t="s">
        <v>2165</v>
      </c>
      <c r="O48" s="3" t="s">
        <v>2166</v>
      </c>
      <c r="P48" s="3">
        <v>36</v>
      </c>
      <c r="Q48" s="3" t="s">
        <v>2167</v>
      </c>
      <c r="R48" s="3" t="s">
        <v>114</v>
      </c>
      <c r="S48" s="3" t="s">
        <v>115</v>
      </c>
      <c r="T48" s="3" t="s">
        <v>116</v>
      </c>
      <c r="U48" s="3" t="s">
        <v>117</v>
      </c>
      <c r="V48" s="3" t="s">
        <v>118</v>
      </c>
      <c r="W48" s="7" t="s">
        <v>2603</v>
      </c>
      <c r="X48" s="3" t="s">
        <v>2604</v>
      </c>
      <c r="Y48" s="7" t="s">
        <v>2605</v>
      </c>
      <c r="Z48" s="3" t="s">
        <v>2606</v>
      </c>
      <c r="AA48" s="3" t="s">
        <v>2607</v>
      </c>
      <c r="AB48" s="3" t="s">
        <v>2608</v>
      </c>
      <c r="AC48" s="3" t="s">
        <v>2609</v>
      </c>
      <c r="AD48" s="3" t="s">
        <v>2610</v>
      </c>
      <c r="AE48" s="3" t="s">
        <v>2611</v>
      </c>
      <c r="AF48" s="3" t="s">
        <v>2612</v>
      </c>
      <c r="AG48" s="3" t="s">
        <v>2613</v>
      </c>
      <c r="AH48" s="3">
        <v>244.1207</v>
      </c>
      <c r="AI48" s="3" t="s">
        <v>2614</v>
      </c>
      <c r="AJ48" s="3" t="s">
        <v>113</v>
      </c>
      <c r="AK48" s="3" t="s">
        <v>113</v>
      </c>
      <c r="AL48" s="3" t="s">
        <v>113</v>
      </c>
      <c r="AM48" s="3" t="s">
        <v>131</v>
      </c>
      <c r="AN48" s="3" t="s">
        <v>3397</v>
      </c>
      <c r="AO48" s="3" t="s">
        <v>3413</v>
      </c>
      <c r="AP48" s="7" t="s">
        <v>2615</v>
      </c>
      <c r="AQ48" s="7">
        <f t="shared" si="8"/>
        <v>0.30599999999999999</v>
      </c>
      <c r="AR48" s="3" t="s">
        <v>2394</v>
      </c>
      <c r="AS48" s="10" t="s">
        <v>2616</v>
      </c>
      <c r="AT48" s="11">
        <f t="shared" si="9"/>
        <v>0.14130000000000001</v>
      </c>
      <c r="AU48" s="3" t="s">
        <v>2617</v>
      </c>
      <c r="AV48" s="12"/>
      <c r="AW48" s="3" t="s">
        <v>2618</v>
      </c>
      <c r="AX48" s="3" t="s">
        <v>2619</v>
      </c>
      <c r="AY48" s="3" t="s">
        <v>390</v>
      </c>
      <c r="AZ48" s="3" t="s">
        <v>2620</v>
      </c>
      <c r="BA48" s="3" t="s">
        <v>2621</v>
      </c>
      <c r="BB48" s="3" t="s">
        <v>2622</v>
      </c>
      <c r="BC48" s="3" t="s">
        <v>2623</v>
      </c>
      <c r="BD48" s="3" t="s">
        <v>2624</v>
      </c>
      <c r="BE48" s="3" t="s">
        <v>2625</v>
      </c>
      <c r="BF48" s="3" t="s">
        <v>2626</v>
      </c>
      <c r="BG48" s="3" t="s">
        <v>2627</v>
      </c>
      <c r="BH48" s="3" t="s">
        <v>2628</v>
      </c>
      <c r="BI48" s="3" t="s">
        <v>2629</v>
      </c>
      <c r="BJ48" s="3" t="s">
        <v>959</v>
      </c>
      <c r="BK48" s="3" t="s">
        <v>2630</v>
      </c>
      <c r="BL48" s="3" t="s">
        <v>2631</v>
      </c>
      <c r="BM48" s="3" t="s">
        <v>2632</v>
      </c>
      <c r="BN48" s="3" t="s">
        <v>152</v>
      </c>
      <c r="BO48" s="3" t="s">
        <v>152</v>
      </c>
      <c r="BP48" s="3" t="s">
        <v>152</v>
      </c>
      <c r="BQ48" s="3">
        <v>172</v>
      </c>
      <c r="BR48" s="3">
        <v>128</v>
      </c>
      <c r="BS48" s="3">
        <v>74</v>
      </c>
      <c r="BT48" s="3">
        <v>124</v>
      </c>
      <c r="BU48" s="3">
        <v>592</v>
      </c>
      <c r="BV48" s="3">
        <v>1181</v>
      </c>
      <c r="BW48" s="3">
        <v>1685</v>
      </c>
      <c r="BX48" s="3" t="s">
        <v>153</v>
      </c>
      <c r="BY48" s="3" t="s">
        <v>153</v>
      </c>
      <c r="BZ48" s="3">
        <v>0</v>
      </c>
      <c r="CA48" s="3" t="s">
        <v>2593</v>
      </c>
      <c r="CB48" s="3" t="s">
        <v>111</v>
      </c>
      <c r="CC48" s="3" t="s">
        <v>2593</v>
      </c>
      <c r="CD48" s="3" t="s">
        <v>111</v>
      </c>
      <c r="CE48" s="3">
        <v>5022</v>
      </c>
    </row>
    <row r="49" spans="1:83" s="3" customFormat="1" x14ac:dyDescent="0.2">
      <c r="A49" s="3" t="s">
        <v>3398</v>
      </c>
      <c r="B49" s="5" t="s">
        <v>4727</v>
      </c>
      <c r="C49" s="8">
        <v>11</v>
      </c>
      <c r="D49" s="5" t="s">
        <v>4733</v>
      </c>
      <c r="E49" s="3" t="s">
        <v>3413</v>
      </c>
      <c r="F49" s="3">
        <v>17302</v>
      </c>
      <c r="G49" s="14">
        <v>44747.53125</v>
      </c>
      <c r="H49" s="14">
        <v>45156.75277777778</v>
      </c>
      <c r="I49" s="3" t="s">
        <v>2591</v>
      </c>
      <c r="J49" s="3" t="s">
        <v>111</v>
      </c>
      <c r="K49" s="3" t="s">
        <v>111</v>
      </c>
      <c r="L49" s="3" t="s">
        <v>111</v>
      </c>
      <c r="M49" s="3" t="s">
        <v>112</v>
      </c>
      <c r="N49" s="3" t="s">
        <v>2165</v>
      </c>
      <c r="O49" s="3" t="s">
        <v>2166</v>
      </c>
      <c r="P49" s="3">
        <v>36</v>
      </c>
      <c r="Q49" s="3" t="s">
        <v>2167</v>
      </c>
      <c r="R49" s="3" t="s">
        <v>114</v>
      </c>
      <c r="S49" s="3" t="s">
        <v>115</v>
      </c>
      <c r="T49" s="3" t="s">
        <v>116</v>
      </c>
      <c r="U49" s="3" t="s">
        <v>117</v>
      </c>
      <c r="V49" s="3" t="s">
        <v>118</v>
      </c>
      <c r="W49" s="7" t="s">
        <v>2633</v>
      </c>
      <c r="X49" s="3" t="s">
        <v>2634</v>
      </c>
      <c r="Y49" s="7" t="s">
        <v>1067</v>
      </c>
      <c r="Z49" s="3" t="s">
        <v>2635</v>
      </c>
      <c r="AA49" s="3" t="s">
        <v>2365</v>
      </c>
      <c r="AB49" s="3" t="s">
        <v>2636</v>
      </c>
      <c r="AC49" s="3" t="s">
        <v>226</v>
      </c>
      <c r="AD49" s="3" t="s">
        <v>2637</v>
      </c>
      <c r="AE49" s="3" t="s">
        <v>2638</v>
      </c>
      <c r="AF49" s="3" t="s">
        <v>2639</v>
      </c>
      <c r="AG49" s="3" t="s">
        <v>2640</v>
      </c>
      <c r="AH49" s="3">
        <v>262.51049999999998</v>
      </c>
      <c r="AI49" s="3" t="s">
        <v>2641</v>
      </c>
      <c r="AJ49" s="3" t="s">
        <v>113</v>
      </c>
      <c r="AK49" s="3" t="s">
        <v>113</v>
      </c>
      <c r="AL49" s="3" t="s">
        <v>113</v>
      </c>
      <c r="AM49" s="3" t="s">
        <v>131</v>
      </c>
      <c r="AN49" s="3" t="s">
        <v>3398</v>
      </c>
      <c r="AO49" s="3" t="s">
        <v>3413</v>
      </c>
      <c r="AP49" s="7" t="s">
        <v>2642</v>
      </c>
      <c r="AQ49" s="7">
        <f t="shared" si="8"/>
        <v>0.63129999999999997</v>
      </c>
      <c r="AR49" s="3" t="s">
        <v>2643</v>
      </c>
      <c r="AS49" s="10" t="s">
        <v>2644</v>
      </c>
      <c r="AT49" s="11">
        <f t="shared" si="9"/>
        <v>0.19589999999999999</v>
      </c>
      <c r="AU49" s="3" t="s">
        <v>2645</v>
      </c>
      <c r="AV49" s="12"/>
      <c r="AW49" s="3" t="s">
        <v>2646</v>
      </c>
      <c r="AX49" s="3" t="s">
        <v>2647</v>
      </c>
      <c r="AY49" s="3" t="s">
        <v>2648</v>
      </c>
      <c r="AZ49" s="3" t="s">
        <v>2649</v>
      </c>
      <c r="BA49" s="3" t="s">
        <v>2650</v>
      </c>
      <c r="BB49" s="3" t="s">
        <v>2651</v>
      </c>
      <c r="BC49" s="3" t="s">
        <v>2652</v>
      </c>
      <c r="BD49" s="3" t="s">
        <v>2653</v>
      </c>
      <c r="BE49" s="3" t="s">
        <v>2214</v>
      </c>
      <c r="BF49" s="3" t="s">
        <v>2654</v>
      </c>
      <c r="BG49" s="3" t="s">
        <v>2655</v>
      </c>
      <c r="BH49" s="3" t="s">
        <v>2656</v>
      </c>
      <c r="BI49" s="3" t="s">
        <v>2657</v>
      </c>
      <c r="BJ49" s="3" t="s">
        <v>781</v>
      </c>
      <c r="BK49" s="3" t="s">
        <v>2658</v>
      </c>
      <c r="BL49" s="3" t="s">
        <v>574</v>
      </c>
      <c r="BM49" s="3" t="s">
        <v>2659</v>
      </c>
      <c r="BN49" s="3" t="s">
        <v>152</v>
      </c>
      <c r="BO49" s="3" t="s">
        <v>152</v>
      </c>
      <c r="BP49" s="3" t="s">
        <v>152</v>
      </c>
      <c r="BQ49" s="3">
        <v>148</v>
      </c>
      <c r="BR49" s="3">
        <v>204</v>
      </c>
      <c r="BS49" s="3">
        <v>73</v>
      </c>
      <c r="BT49" s="3">
        <v>438</v>
      </c>
      <c r="BU49" s="3">
        <v>339</v>
      </c>
      <c r="BV49" s="3">
        <v>977</v>
      </c>
      <c r="BW49" s="3">
        <v>1685</v>
      </c>
      <c r="BX49" s="3" t="s">
        <v>153</v>
      </c>
      <c r="BY49" s="3" t="s">
        <v>153</v>
      </c>
      <c r="BZ49" s="3">
        <v>0</v>
      </c>
      <c r="CA49" s="3" t="s">
        <v>2593</v>
      </c>
      <c r="CB49" s="3" t="s">
        <v>111</v>
      </c>
      <c r="CC49" s="3" t="s">
        <v>2593</v>
      </c>
      <c r="CD49" s="3" t="s">
        <v>111</v>
      </c>
      <c r="CE49" s="3">
        <v>5022</v>
      </c>
    </row>
    <row r="50" spans="1:83" s="3" customFormat="1" x14ac:dyDescent="0.2">
      <c r="A50" s="3" t="s">
        <v>3399</v>
      </c>
      <c r="B50" s="5" t="s">
        <v>4727</v>
      </c>
      <c r="C50" s="8">
        <v>11</v>
      </c>
      <c r="D50" s="5" t="s">
        <v>4733</v>
      </c>
      <c r="E50" s="3" t="s">
        <v>3413</v>
      </c>
      <c r="F50" s="3">
        <v>17302</v>
      </c>
      <c r="G50" s="14">
        <v>44747.53125</v>
      </c>
      <c r="H50" s="14">
        <v>45156.754166666666</v>
      </c>
      <c r="I50" s="3" t="s">
        <v>2591</v>
      </c>
      <c r="J50" s="3" t="s">
        <v>111</v>
      </c>
      <c r="K50" s="3" t="s">
        <v>111</v>
      </c>
      <c r="L50" s="3" t="s">
        <v>111</v>
      </c>
      <c r="M50" s="3" t="s">
        <v>112</v>
      </c>
      <c r="N50" s="3" t="s">
        <v>2165</v>
      </c>
      <c r="O50" s="3" t="s">
        <v>2166</v>
      </c>
      <c r="P50" s="3">
        <v>36</v>
      </c>
      <c r="Q50" s="3" t="s">
        <v>2167</v>
      </c>
      <c r="R50" s="3" t="s">
        <v>114</v>
      </c>
      <c r="S50" s="3" t="s">
        <v>115</v>
      </c>
      <c r="T50" s="3" t="s">
        <v>116</v>
      </c>
      <c r="U50" s="3" t="s">
        <v>117</v>
      </c>
      <c r="V50" s="3" t="s">
        <v>118</v>
      </c>
      <c r="W50" s="7" t="s">
        <v>2660</v>
      </c>
      <c r="X50" s="3" t="s">
        <v>1042</v>
      </c>
      <c r="Y50" s="7" t="s">
        <v>1858</v>
      </c>
      <c r="Z50" s="3" t="s">
        <v>2661</v>
      </c>
      <c r="AA50" s="3" t="s">
        <v>2662</v>
      </c>
      <c r="AB50" s="3" t="s">
        <v>2663</v>
      </c>
      <c r="AC50" s="3" t="s">
        <v>2664</v>
      </c>
      <c r="AD50" s="3" t="s">
        <v>2168</v>
      </c>
      <c r="AE50" s="3" t="s">
        <v>2665</v>
      </c>
      <c r="AF50" s="3" t="s">
        <v>393</v>
      </c>
      <c r="AG50" s="3" t="s">
        <v>2666</v>
      </c>
      <c r="AH50" s="3">
        <v>225.00399999999999</v>
      </c>
      <c r="AI50" s="3" t="s">
        <v>2667</v>
      </c>
      <c r="AJ50" s="3" t="s">
        <v>113</v>
      </c>
      <c r="AK50" s="3" t="s">
        <v>113</v>
      </c>
      <c r="AL50" s="3" t="s">
        <v>113</v>
      </c>
      <c r="AM50" s="3" t="s">
        <v>131</v>
      </c>
      <c r="AN50" s="3" t="s">
        <v>3399</v>
      </c>
      <c r="AO50" s="3" t="s">
        <v>3413</v>
      </c>
      <c r="AP50" s="7" t="s">
        <v>2668</v>
      </c>
      <c r="AQ50" s="7">
        <f t="shared" si="8"/>
        <v>0.41039999999999999</v>
      </c>
      <c r="AR50" s="3" t="s">
        <v>557</v>
      </c>
      <c r="AS50" s="10" t="s">
        <v>2669</v>
      </c>
      <c r="AT50" s="11">
        <f t="shared" si="9"/>
        <v>0.14069999999999999</v>
      </c>
      <c r="AU50" s="3" t="s">
        <v>2670</v>
      </c>
      <c r="AV50" s="12"/>
      <c r="AW50" s="3" t="s">
        <v>2671</v>
      </c>
      <c r="AX50" s="3" t="s">
        <v>2672</v>
      </c>
      <c r="AY50" s="3" t="s">
        <v>672</v>
      </c>
      <c r="AZ50" s="3" t="s">
        <v>2673</v>
      </c>
      <c r="BA50" s="3" t="s">
        <v>2674</v>
      </c>
      <c r="BB50" s="3" t="s">
        <v>425</v>
      </c>
      <c r="BC50" s="3" t="s">
        <v>2675</v>
      </c>
      <c r="BD50" s="3" t="s">
        <v>2676</v>
      </c>
      <c r="BE50" s="3" t="s">
        <v>313</v>
      </c>
      <c r="BF50" s="3" t="s">
        <v>2677</v>
      </c>
      <c r="BG50" s="3" t="s">
        <v>2200</v>
      </c>
      <c r="BH50" s="3" t="s">
        <v>2678</v>
      </c>
      <c r="BI50" s="3" t="s">
        <v>2679</v>
      </c>
      <c r="BJ50" s="3" t="s">
        <v>2680</v>
      </c>
      <c r="BK50" s="3" t="s">
        <v>2681</v>
      </c>
      <c r="BL50" s="3" t="s">
        <v>2682</v>
      </c>
      <c r="BM50" s="3" t="s">
        <v>2683</v>
      </c>
      <c r="BN50" s="3" t="s">
        <v>152</v>
      </c>
      <c r="BO50" s="3" t="s">
        <v>152</v>
      </c>
      <c r="BP50" s="3" t="s">
        <v>152</v>
      </c>
      <c r="BQ50" s="3">
        <v>136</v>
      </c>
      <c r="BR50" s="3">
        <v>184</v>
      </c>
      <c r="BS50" s="3">
        <v>62</v>
      </c>
      <c r="BT50" s="3">
        <v>1163</v>
      </c>
      <c r="BU50" s="3">
        <v>374</v>
      </c>
      <c r="BV50" s="3">
        <v>1118</v>
      </c>
      <c r="BW50" s="3">
        <v>1685</v>
      </c>
      <c r="BX50" s="3" t="s">
        <v>153</v>
      </c>
      <c r="BY50" s="3" t="s">
        <v>153</v>
      </c>
      <c r="BZ50" s="3">
        <v>0</v>
      </c>
      <c r="CA50" s="3" t="s">
        <v>2593</v>
      </c>
      <c r="CB50" s="3" t="s">
        <v>111</v>
      </c>
      <c r="CC50" s="3" t="s">
        <v>2593</v>
      </c>
      <c r="CD50" s="3" t="s">
        <v>111</v>
      </c>
      <c r="CE50" s="3">
        <v>5022</v>
      </c>
    </row>
    <row r="51" spans="1:83" s="3" customFormat="1" x14ac:dyDescent="0.2">
      <c r="A51" s="3" t="s">
        <v>3400</v>
      </c>
      <c r="B51" s="5" t="s">
        <v>4727</v>
      </c>
      <c r="C51" s="8">
        <v>11</v>
      </c>
      <c r="D51" s="5" t="s">
        <v>4733</v>
      </c>
      <c r="E51" s="3" t="s">
        <v>3413</v>
      </c>
      <c r="F51" s="3">
        <v>17302</v>
      </c>
      <c r="G51" s="14">
        <v>44747.53125</v>
      </c>
      <c r="H51" s="14">
        <v>45156.756944444445</v>
      </c>
      <c r="I51" s="3" t="s">
        <v>2591</v>
      </c>
      <c r="J51" s="3" t="s">
        <v>111</v>
      </c>
      <c r="K51" s="3" t="s">
        <v>111</v>
      </c>
      <c r="L51" s="3" t="s">
        <v>111</v>
      </c>
      <c r="M51" s="3" t="s">
        <v>112</v>
      </c>
      <c r="N51" s="3" t="s">
        <v>2165</v>
      </c>
      <c r="O51" s="3" t="s">
        <v>2166</v>
      </c>
      <c r="P51" s="3">
        <v>36</v>
      </c>
      <c r="Q51" s="3" t="s">
        <v>2167</v>
      </c>
      <c r="R51" s="3" t="s">
        <v>114</v>
      </c>
      <c r="S51" s="3" t="s">
        <v>115</v>
      </c>
      <c r="T51" s="3" t="s">
        <v>116</v>
      </c>
      <c r="U51" s="3" t="s">
        <v>117</v>
      </c>
      <c r="V51" s="3" t="s">
        <v>118</v>
      </c>
      <c r="W51" s="7" t="s">
        <v>2684</v>
      </c>
      <c r="X51" s="3" t="s">
        <v>2685</v>
      </c>
      <c r="Y51" s="7" t="s">
        <v>2686</v>
      </c>
      <c r="Z51" s="3" t="s">
        <v>2687</v>
      </c>
      <c r="AA51" s="3" t="s">
        <v>2688</v>
      </c>
      <c r="AB51" s="3" t="s">
        <v>2689</v>
      </c>
      <c r="AC51" s="3" t="s">
        <v>527</v>
      </c>
      <c r="AD51" s="3" t="s">
        <v>2690</v>
      </c>
      <c r="AE51" s="3" t="s">
        <v>1608</v>
      </c>
      <c r="AF51" s="3" t="s">
        <v>1995</v>
      </c>
      <c r="AG51" s="3" t="s">
        <v>2005</v>
      </c>
      <c r="AH51" s="3">
        <v>357.2944</v>
      </c>
      <c r="AI51" s="3" t="s">
        <v>2691</v>
      </c>
      <c r="AJ51" s="3" t="s">
        <v>113</v>
      </c>
      <c r="AK51" s="3" t="s">
        <v>113</v>
      </c>
      <c r="AL51" s="3" t="s">
        <v>113</v>
      </c>
      <c r="AM51" s="3" t="s">
        <v>131</v>
      </c>
      <c r="AN51" s="3" t="s">
        <v>3400</v>
      </c>
      <c r="AO51" s="3" t="s">
        <v>3413</v>
      </c>
      <c r="AP51" s="7" t="s">
        <v>2692</v>
      </c>
      <c r="AQ51" s="7">
        <f t="shared" si="8"/>
        <v>0.30480000000000002</v>
      </c>
      <c r="AR51" s="3" t="s">
        <v>1146</v>
      </c>
      <c r="AS51" s="10" t="s">
        <v>740</v>
      </c>
      <c r="AT51" s="11">
        <f t="shared" si="9"/>
        <v>0.2828</v>
      </c>
      <c r="AU51" s="3" t="s">
        <v>2693</v>
      </c>
      <c r="AV51" s="12"/>
      <c r="AW51" s="3" t="s">
        <v>2694</v>
      </c>
      <c r="AX51" s="3" t="s">
        <v>2695</v>
      </c>
      <c r="AY51" s="3" t="s">
        <v>2602</v>
      </c>
      <c r="AZ51" s="3" t="s">
        <v>507</v>
      </c>
      <c r="BA51" s="3" t="s">
        <v>2696</v>
      </c>
      <c r="BB51" s="3" t="s">
        <v>1477</v>
      </c>
      <c r="BC51" s="3" t="s">
        <v>2697</v>
      </c>
      <c r="BD51" s="3" t="s">
        <v>2192</v>
      </c>
      <c r="BE51" s="3" t="s">
        <v>2189</v>
      </c>
      <c r="BF51" s="3" t="s">
        <v>2698</v>
      </c>
      <c r="BG51" s="3" t="s">
        <v>2699</v>
      </c>
      <c r="BH51" s="3" t="s">
        <v>176</v>
      </c>
      <c r="BI51" s="3" t="s">
        <v>2700</v>
      </c>
      <c r="BJ51" s="3" t="s">
        <v>2701</v>
      </c>
      <c r="BK51" s="3" t="s">
        <v>2702</v>
      </c>
      <c r="BL51" s="3" t="s">
        <v>2703</v>
      </c>
      <c r="BM51" s="3" t="s">
        <v>1478</v>
      </c>
      <c r="BN51" s="3" t="s">
        <v>152</v>
      </c>
      <c r="BO51" s="3" t="s">
        <v>152</v>
      </c>
      <c r="BP51" s="3" t="s">
        <v>152</v>
      </c>
      <c r="BQ51" s="3">
        <v>216</v>
      </c>
      <c r="BR51" s="3">
        <v>136</v>
      </c>
      <c r="BS51" s="3">
        <v>67</v>
      </c>
      <c r="BT51" s="3">
        <v>1267</v>
      </c>
      <c r="BU51" s="3">
        <v>730</v>
      </c>
      <c r="BV51" s="3">
        <v>261</v>
      </c>
      <c r="BW51" s="3">
        <v>1685</v>
      </c>
      <c r="BX51" s="3" t="s">
        <v>153</v>
      </c>
      <c r="BY51" s="3" t="s">
        <v>153</v>
      </c>
      <c r="BZ51" s="3">
        <v>0</v>
      </c>
      <c r="CA51" s="3" t="s">
        <v>2593</v>
      </c>
      <c r="CB51" s="3" t="s">
        <v>111</v>
      </c>
      <c r="CC51" s="3" t="s">
        <v>2593</v>
      </c>
      <c r="CD51" s="3" t="s">
        <v>111</v>
      </c>
      <c r="CE51" s="3">
        <v>5022</v>
      </c>
    </row>
    <row r="52" spans="1:83" s="3" customFormat="1" x14ac:dyDescent="0.2">
      <c r="D52" s="5"/>
      <c r="G52" s="14"/>
      <c r="H52" s="14"/>
      <c r="W52" s="7"/>
      <c r="Y52" s="7"/>
      <c r="AP52" s="7"/>
      <c r="AQ52" s="7"/>
      <c r="AS52" s="10"/>
      <c r="AT52" s="11"/>
      <c r="AV52" s="12"/>
    </row>
    <row r="53" spans="1:83" s="3" customFormat="1" x14ac:dyDescent="0.2">
      <c r="D53" s="5"/>
      <c r="W53" s="7"/>
      <c r="Y53" s="7"/>
      <c r="AO53" s="3" t="s">
        <v>4723</v>
      </c>
      <c r="AP53" s="7"/>
      <c r="AQ53" s="7">
        <f>_xlfn.T.TEST(AQ46:AQ51,AQ35:AQ43,2,3)</f>
        <v>0.19217279552118102</v>
      </c>
      <c r="AS53" s="10"/>
      <c r="AT53" s="7">
        <f>_xlfn.T.TEST(AT46:AT51,AT35:AT43,2,3)</f>
        <v>6.3226305318778778E-2</v>
      </c>
      <c r="AV53" s="12"/>
    </row>
    <row r="54" spans="1:83" s="3" customFormat="1" x14ac:dyDescent="0.2">
      <c r="D54" s="5"/>
      <c r="G54" s="14"/>
      <c r="H54" s="14"/>
      <c r="W54" s="7"/>
      <c r="Y54" s="7"/>
      <c r="AP54" s="7"/>
      <c r="AQ54" s="7"/>
      <c r="AS54" s="10"/>
      <c r="AT54" s="11"/>
      <c r="AV54" s="12"/>
    </row>
    <row r="55" spans="1:83" s="3" customFormat="1" ht="16" x14ac:dyDescent="0.2">
      <c r="A55" s="3" t="s">
        <v>3362</v>
      </c>
      <c r="B55" s="4" t="s">
        <v>4726</v>
      </c>
      <c r="C55" s="4">
        <v>12</v>
      </c>
      <c r="D55" s="5" t="s">
        <v>4734</v>
      </c>
      <c r="E55" s="3" t="s">
        <v>3413</v>
      </c>
      <c r="F55" s="3">
        <v>18041</v>
      </c>
      <c r="G55" s="14">
        <v>45156.44027777778</v>
      </c>
      <c r="H55" s="14">
        <v>45167.60833333333</v>
      </c>
      <c r="I55" s="3" t="s">
        <v>583</v>
      </c>
      <c r="J55" s="3" t="s">
        <v>111</v>
      </c>
      <c r="K55" s="3" t="s">
        <v>111</v>
      </c>
      <c r="L55" s="3" t="s">
        <v>111</v>
      </c>
      <c r="M55" s="3" t="s">
        <v>112</v>
      </c>
      <c r="N55" s="3" t="s">
        <v>113</v>
      </c>
      <c r="O55" s="3" t="s">
        <v>113</v>
      </c>
      <c r="P55" s="3">
        <v>0</v>
      </c>
      <c r="Q55" s="3" t="s">
        <v>113</v>
      </c>
      <c r="R55" s="3" t="s">
        <v>114</v>
      </c>
      <c r="S55" s="3" t="s">
        <v>115</v>
      </c>
      <c r="T55" s="3" t="s">
        <v>116</v>
      </c>
      <c r="U55" s="3" t="s">
        <v>117</v>
      </c>
      <c r="V55" s="3" t="s">
        <v>118</v>
      </c>
      <c r="W55" s="7" t="s">
        <v>584</v>
      </c>
      <c r="X55" s="3" t="s">
        <v>585</v>
      </c>
      <c r="Y55" s="7" t="s">
        <v>586</v>
      </c>
      <c r="Z55" s="3" t="s">
        <v>587</v>
      </c>
      <c r="AA55" s="3" t="s">
        <v>588</v>
      </c>
      <c r="AB55" s="3" t="s">
        <v>589</v>
      </c>
      <c r="AC55" s="3" t="s">
        <v>590</v>
      </c>
      <c r="AD55" s="3" t="s">
        <v>591</v>
      </c>
      <c r="AE55" s="3" t="s">
        <v>592</v>
      </c>
      <c r="AF55" s="3" t="s">
        <v>480</v>
      </c>
      <c r="AG55" s="3" t="s">
        <v>593</v>
      </c>
      <c r="AH55" s="3">
        <v>211.70230000000001</v>
      </c>
      <c r="AI55" s="3" t="s">
        <v>594</v>
      </c>
      <c r="AJ55" s="3" t="s">
        <v>113</v>
      </c>
      <c r="AK55" s="3" t="s">
        <v>113</v>
      </c>
      <c r="AL55" s="3" t="s">
        <v>113</v>
      </c>
      <c r="AM55" s="3" t="s">
        <v>131</v>
      </c>
      <c r="AN55" s="3" t="s">
        <v>3362</v>
      </c>
      <c r="AO55" s="3" t="s">
        <v>3413</v>
      </c>
      <c r="AP55" s="7" t="s">
        <v>595</v>
      </c>
      <c r="AQ55" s="7">
        <f>VALUE(AP55)</f>
        <v>0.2787</v>
      </c>
      <c r="AR55" s="3" t="s">
        <v>596</v>
      </c>
      <c r="AS55" s="10">
        <v>0.1077</v>
      </c>
      <c r="AT55" s="11">
        <f>VALUE(AS55)</f>
        <v>0.1077</v>
      </c>
      <c r="AU55" s="3" t="s">
        <v>597</v>
      </c>
      <c r="AV55" s="12"/>
      <c r="AW55" s="3" t="s">
        <v>598</v>
      </c>
      <c r="AX55" s="3" t="s">
        <v>599</v>
      </c>
      <c r="AY55" s="3" t="s">
        <v>600</v>
      </c>
      <c r="AZ55" s="3" t="s">
        <v>601</v>
      </c>
      <c r="BA55" s="3" t="s">
        <v>602</v>
      </c>
      <c r="BB55" s="3" t="s">
        <v>603</v>
      </c>
      <c r="BC55" s="3" t="s">
        <v>604</v>
      </c>
      <c r="BD55" s="3" t="s">
        <v>605</v>
      </c>
      <c r="BE55" s="3" t="s">
        <v>606</v>
      </c>
      <c r="BF55" s="3" t="s">
        <v>607</v>
      </c>
      <c r="BG55" s="3" t="s">
        <v>608</v>
      </c>
      <c r="BH55" s="3" t="s">
        <v>609</v>
      </c>
      <c r="BI55" s="3" t="s">
        <v>610</v>
      </c>
      <c r="BJ55" s="3" t="s">
        <v>611</v>
      </c>
      <c r="BK55" s="3" t="s">
        <v>612</v>
      </c>
      <c r="BL55" s="3" t="s">
        <v>613</v>
      </c>
      <c r="BM55" s="3" t="s">
        <v>614</v>
      </c>
      <c r="BN55" s="3" t="s">
        <v>152</v>
      </c>
      <c r="BO55" s="3" t="s">
        <v>152</v>
      </c>
      <c r="BP55" s="3" t="s">
        <v>152</v>
      </c>
      <c r="BQ55" s="3">
        <v>164</v>
      </c>
      <c r="BR55" s="3">
        <v>144</v>
      </c>
      <c r="BS55" s="3">
        <v>103</v>
      </c>
      <c r="BT55" s="3">
        <v>270</v>
      </c>
      <c r="BU55" s="3">
        <v>1205</v>
      </c>
      <c r="BV55" s="3">
        <v>211</v>
      </c>
      <c r="BW55" s="3">
        <v>800</v>
      </c>
      <c r="BX55" s="3" t="s">
        <v>111</v>
      </c>
      <c r="BY55" s="3" t="s">
        <v>153</v>
      </c>
      <c r="BZ55" s="3">
        <v>0</v>
      </c>
      <c r="CA55" s="3" t="s">
        <v>111</v>
      </c>
      <c r="CB55" s="3" t="s">
        <v>111</v>
      </c>
      <c r="CC55" s="3" t="s">
        <v>615</v>
      </c>
      <c r="CD55" s="3" t="s">
        <v>111</v>
      </c>
      <c r="CE55" s="3">
        <v>5022</v>
      </c>
    </row>
    <row r="56" spans="1:83" s="3" customFormat="1" ht="16" x14ac:dyDescent="0.2">
      <c r="A56" s="3" t="s">
        <v>3363</v>
      </c>
      <c r="B56" s="5" t="s">
        <v>4726</v>
      </c>
      <c r="C56" s="4">
        <v>12</v>
      </c>
      <c r="D56" s="5" t="s">
        <v>4734</v>
      </c>
      <c r="E56" s="3" t="s">
        <v>3413</v>
      </c>
      <c r="F56" s="3">
        <v>18042</v>
      </c>
      <c r="G56" s="14">
        <v>45156.463888888888</v>
      </c>
      <c r="H56" s="14">
        <v>45167.616666666669</v>
      </c>
      <c r="I56" s="3" t="s">
        <v>649</v>
      </c>
      <c r="J56" s="3" t="s">
        <v>111</v>
      </c>
      <c r="K56" s="3" t="s">
        <v>111</v>
      </c>
      <c r="L56" s="3" t="s">
        <v>111</v>
      </c>
      <c r="M56" s="3" t="s">
        <v>112</v>
      </c>
      <c r="N56" s="3" t="s">
        <v>113</v>
      </c>
      <c r="O56" s="3" t="s">
        <v>113</v>
      </c>
      <c r="P56" s="3">
        <v>0</v>
      </c>
      <c r="Q56" s="3" t="s">
        <v>113</v>
      </c>
      <c r="R56" s="3" t="s">
        <v>114</v>
      </c>
      <c r="S56" s="3" t="s">
        <v>115</v>
      </c>
      <c r="T56" s="3" t="s">
        <v>116</v>
      </c>
      <c r="U56" s="3" t="s">
        <v>117</v>
      </c>
      <c r="V56" s="3" t="s">
        <v>118</v>
      </c>
      <c r="W56" s="7" t="s">
        <v>650</v>
      </c>
      <c r="X56" s="3" t="s">
        <v>651</v>
      </c>
      <c r="Y56" s="7" t="s">
        <v>652</v>
      </c>
      <c r="Z56" s="3" t="s">
        <v>653</v>
      </c>
      <c r="AA56" s="3" t="s">
        <v>654</v>
      </c>
      <c r="AB56" s="3" t="s">
        <v>655</v>
      </c>
      <c r="AC56" s="3" t="s">
        <v>656</v>
      </c>
      <c r="AD56" s="3" t="s">
        <v>657</v>
      </c>
      <c r="AE56" s="3" t="s">
        <v>658</v>
      </c>
      <c r="AF56" s="3" t="s">
        <v>659</v>
      </c>
      <c r="AG56" s="3" t="s">
        <v>660</v>
      </c>
      <c r="AH56" s="3">
        <v>206.39609999999999</v>
      </c>
      <c r="AI56" s="3" t="s">
        <v>661</v>
      </c>
      <c r="AJ56" s="3" t="s">
        <v>113</v>
      </c>
      <c r="AK56" s="3" t="s">
        <v>113</v>
      </c>
      <c r="AL56" s="3" t="s">
        <v>113</v>
      </c>
      <c r="AM56" s="3" t="s">
        <v>131</v>
      </c>
      <c r="AN56" s="3" t="s">
        <v>3363</v>
      </c>
      <c r="AO56" s="3" t="s">
        <v>3413</v>
      </c>
      <c r="AP56" s="7" t="s">
        <v>662</v>
      </c>
      <c r="AQ56" s="7">
        <f>VALUE(AP56)</f>
        <v>0.3256</v>
      </c>
      <c r="AR56" s="3" t="s">
        <v>663</v>
      </c>
      <c r="AS56" s="10">
        <v>0.11749999999999999</v>
      </c>
      <c r="AT56" s="11">
        <f>VALUE(AS56)</f>
        <v>0.11749999999999999</v>
      </c>
      <c r="AU56" s="3" t="s">
        <v>664</v>
      </c>
      <c r="AV56" s="12"/>
      <c r="AW56" s="3" t="s">
        <v>665</v>
      </c>
      <c r="AX56" s="3" t="s">
        <v>666</v>
      </c>
      <c r="AY56" s="3" t="s">
        <v>667</v>
      </c>
      <c r="AZ56" s="3" t="s">
        <v>668</v>
      </c>
      <c r="BA56" s="3" t="s">
        <v>669</v>
      </c>
      <c r="BB56" s="3" t="s">
        <v>670</v>
      </c>
      <c r="BC56" s="3" t="s">
        <v>671</v>
      </c>
      <c r="BD56" s="3" t="s">
        <v>119</v>
      </c>
      <c r="BE56" s="3" t="s">
        <v>672</v>
      </c>
      <c r="BF56" s="3" t="s">
        <v>673</v>
      </c>
      <c r="BG56" s="3" t="s">
        <v>674</v>
      </c>
      <c r="BH56" s="3" t="s">
        <v>675</v>
      </c>
      <c r="BI56" s="3" t="s">
        <v>676</v>
      </c>
      <c r="BJ56" s="3" t="s">
        <v>677</v>
      </c>
      <c r="BK56" s="3" t="s">
        <v>678</v>
      </c>
      <c r="BL56" s="3" t="s">
        <v>679</v>
      </c>
      <c r="BM56" s="3" t="s">
        <v>680</v>
      </c>
      <c r="BN56" s="3" t="s">
        <v>152</v>
      </c>
      <c r="BO56" s="3" t="s">
        <v>152</v>
      </c>
      <c r="BP56" s="3" t="s">
        <v>152</v>
      </c>
      <c r="BQ56" s="3">
        <v>192</v>
      </c>
      <c r="BR56" s="3">
        <v>144</v>
      </c>
      <c r="BS56" s="3">
        <v>65</v>
      </c>
      <c r="BT56" s="3">
        <v>269</v>
      </c>
      <c r="BU56" s="3">
        <v>720</v>
      </c>
      <c r="BV56" s="3">
        <v>745</v>
      </c>
      <c r="BW56" s="3">
        <v>1126</v>
      </c>
      <c r="BX56" s="3" t="s">
        <v>111</v>
      </c>
      <c r="BY56" s="3" t="s">
        <v>153</v>
      </c>
      <c r="BZ56" s="3">
        <v>0</v>
      </c>
      <c r="CA56" s="3" t="s">
        <v>111</v>
      </c>
      <c r="CB56" s="3" t="s">
        <v>111</v>
      </c>
      <c r="CC56" s="3" t="s">
        <v>681</v>
      </c>
      <c r="CD56" s="3" t="s">
        <v>111</v>
      </c>
      <c r="CE56" s="3">
        <v>5022</v>
      </c>
    </row>
    <row r="57" spans="1:83" s="3" customFormat="1" ht="16" x14ac:dyDescent="0.2">
      <c r="A57" s="3" t="s">
        <v>3364</v>
      </c>
      <c r="B57" s="4" t="s">
        <v>4726</v>
      </c>
      <c r="C57" s="4">
        <v>12</v>
      </c>
      <c r="D57" s="5" t="s">
        <v>4734</v>
      </c>
      <c r="E57" s="3" t="s">
        <v>3413</v>
      </c>
      <c r="F57" s="3">
        <v>18043</v>
      </c>
      <c r="G57" s="14">
        <v>45156.509027777778</v>
      </c>
      <c r="H57" s="14">
        <v>45167.631944444445</v>
      </c>
      <c r="I57" s="3" t="s">
        <v>714</v>
      </c>
      <c r="J57" s="3" t="s">
        <v>111</v>
      </c>
      <c r="K57" s="3" t="s">
        <v>111</v>
      </c>
      <c r="L57" s="3" t="s">
        <v>111</v>
      </c>
      <c r="M57" s="3" t="s">
        <v>112</v>
      </c>
      <c r="N57" s="3" t="s">
        <v>113</v>
      </c>
      <c r="O57" s="3" t="s">
        <v>113</v>
      </c>
      <c r="P57" s="3">
        <v>0</v>
      </c>
      <c r="Q57" s="3" t="s">
        <v>113</v>
      </c>
      <c r="R57" s="3" t="s">
        <v>114</v>
      </c>
      <c r="S57" s="3" t="s">
        <v>115</v>
      </c>
      <c r="T57" s="3" t="s">
        <v>116</v>
      </c>
      <c r="U57" s="3" t="s">
        <v>117</v>
      </c>
      <c r="V57" s="3" t="s">
        <v>118</v>
      </c>
      <c r="W57" s="7" t="s">
        <v>715</v>
      </c>
      <c r="X57" s="3" t="s">
        <v>716</v>
      </c>
      <c r="Y57" s="7" t="s">
        <v>717</v>
      </c>
      <c r="Z57" s="3" t="s">
        <v>718</v>
      </c>
      <c r="AA57" s="3" t="s">
        <v>719</v>
      </c>
      <c r="AB57" s="3" t="s">
        <v>720</v>
      </c>
      <c r="AC57" s="3" t="s">
        <v>226</v>
      </c>
      <c r="AD57" s="3" t="s">
        <v>721</v>
      </c>
      <c r="AE57" s="3" t="s">
        <v>722</v>
      </c>
      <c r="AF57" s="3" t="s">
        <v>723</v>
      </c>
      <c r="AG57" s="3" t="s">
        <v>724</v>
      </c>
      <c r="AH57" s="3">
        <v>251.1713</v>
      </c>
      <c r="AI57" s="3" t="s">
        <v>725</v>
      </c>
      <c r="AJ57" s="3" t="s">
        <v>113</v>
      </c>
      <c r="AK57" s="3" t="s">
        <v>113</v>
      </c>
      <c r="AL57" s="3" t="s">
        <v>113</v>
      </c>
      <c r="AM57" s="3" t="s">
        <v>131</v>
      </c>
      <c r="AN57" s="3" t="s">
        <v>3364</v>
      </c>
      <c r="AO57" s="3" t="s">
        <v>3413</v>
      </c>
      <c r="AP57" s="7" t="s">
        <v>726</v>
      </c>
      <c r="AQ57" s="7">
        <f>VALUE(AP57)</f>
        <v>0.42770000000000002</v>
      </c>
      <c r="AR57" s="3" t="s">
        <v>727</v>
      </c>
      <c r="AS57" s="10">
        <v>0.18640000000000001</v>
      </c>
      <c r="AT57" s="11">
        <f>VALUE(AS57)</f>
        <v>0.18640000000000001</v>
      </c>
      <c r="AU57" s="3" t="s">
        <v>728</v>
      </c>
      <c r="AV57" s="12"/>
      <c r="AW57" s="3" t="s">
        <v>729</v>
      </c>
      <c r="AX57" s="3" t="s">
        <v>730</v>
      </c>
      <c r="AY57" s="3" t="s">
        <v>731</v>
      </c>
      <c r="AZ57" s="3" t="s">
        <v>732</v>
      </c>
      <c r="BA57" s="3" t="s">
        <v>733</v>
      </c>
      <c r="BB57" s="3" t="s">
        <v>734</v>
      </c>
      <c r="BC57" s="3" t="s">
        <v>735</v>
      </c>
      <c r="BD57" s="3" t="s">
        <v>736</v>
      </c>
      <c r="BE57" s="3" t="s">
        <v>737</v>
      </c>
      <c r="BF57" s="3" t="s">
        <v>738</v>
      </c>
      <c r="BG57" s="3" t="s">
        <v>739</v>
      </c>
      <c r="BH57" s="3" t="s">
        <v>740</v>
      </c>
      <c r="BI57" s="3" t="s">
        <v>741</v>
      </c>
      <c r="BJ57" s="3" t="s">
        <v>742</v>
      </c>
      <c r="BK57" s="3" t="s">
        <v>743</v>
      </c>
      <c r="BL57" s="3" t="s">
        <v>744</v>
      </c>
      <c r="BM57" s="3" t="s">
        <v>745</v>
      </c>
      <c r="BN57" s="3" t="s">
        <v>152</v>
      </c>
      <c r="BO57" s="3" t="s">
        <v>152</v>
      </c>
      <c r="BP57" s="3" t="s">
        <v>152</v>
      </c>
      <c r="BQ57" s="3">
        <v>192</v>
      </c>
      <c r="BR57" s="3">
        <v>172</v>
      </c>
      <c r="BS57" s="3">
        <v>74</v>
      </c>
      <c r="BT57" s="3">
        <v>616</v>
      </c>
      <c r="BU57" s="3">
        <v>372</v>
      </c>
      <c r="BV57" s="3">
        <v>241</v>
      </c>
      <c r="BW57" s="3">
        <v>810</v>
      </c>
      <c r="BX57" s="3" t="s">
        <v>111</v>
      </c>
      <c r="BY57" s="3" t="s">
        <v>153</v>
      </c>
      <c r="BZ57" s="3">
        <v>0</v>
      </c>
      <c r="CA57" s="3" t="s">
        <v>111</v>
      </c>
      <c r="CB57" s="3" t="s">
        <v>111</v>
      </c>
      <c r="CC57" s="3" t="s">
        <v>746</v>
      </c>
      <c r="CD57" s="3" t="s">
        <v>111</v>
      </c>
      <c r="CE57" s="3">
        <v>5022</v>
      </c>
    </row>
    <row r="58" spans="1:83" s="3" customFormat="1" ht="16" x14ac:dyDescent="0.2">
      <c r="A58" s="3" t="s">
        <v>3365</v>
      </c>
      <c r="B58" s="5" t="s">
        <v>4726</v>
      </c>
      <c r="C58" s="4">
        <v>12</v>
      </c>
      <c r="D58" s="5" t="s">
        <v>4734</v>
      </c>
      <c r="E58" s="3" t="s">
        <v>3413</v>
      </c>
      <c r="F58" s="3">
        <v>18044</v>
      </c>
      <c r="G58" s="14">
        <v>45156.518055555556</v>
      </c>
      <c r="H58" s="14">
        <v>45167.67083333333</v>
      </c>
      <c r="I58" s="3" t="s">
        <v>773</v>
      </c>
      <c r="J58" s="3" t="s">
        <v>111</v>
      </c>
      <c r="K58" s="3" t="s">
        <v>111</v>
      </c>
      <c r="L58" s="3" t="s">
        <v>111</v>
      </c>
      <c r="M58" s="3" t="s">
        <v>112</v>
      </c>
      <c r="N58" s="3" t="s">
        <v>113</v>
      </c>
      <c r="O58" s="3" t="s">
        <v>113</v>
      </c>
      <c r="P58" s="3">
        <v>0</v>
      </c>
      <c r="Q58" s="3" t="s">
        <v>113</v>
      </c>
      <c r="R58" s="3" t="s">
        <v>114</v>
      </c>
      <c r="S58" s="3" t="s">
        <v>115</v>
      </c>
      <c r="T58" s="3" t="s">
        <v>116</v>
      </c>
      <c r="U58" s="3" t="s">
        <v>117</v>
      </c>
      <c r="V58" s="3" t="s">
        <v>118</v>
      </c>
      <c r="W58" s="7" t="s">
        <v>774</v>
      </c>
      <c r="X58" s="3" t="s">
        <v>271</v>
      </c>
      <c r="Y58" s="7" t="s">
        <v>775</v>
      </c>
      <c r="Z58" s="3" t="s">
        <v>776</v>
      </c>
      <c r="AA58" s="3" t="s">
        <v>777</v>
      </c>
      <c r="AB58" s="3" t="s">
        <v>778</v>
      </c>
      <c r="AC58" s="3" t="s">
        <v>481</v>
      </c>
      <c r="AD58" s="3" t="s">
        <v>779</v>
      </c>
      <c r="AE58" s="3" t="s">
        <v>780</v>
      </c>
      <c r="AF58" s="3" t="s">
        <v>781</v>
      </c>
      <c r="AG58" s="3" t="s">
        <v>782</v>
      </c>
      <c r="AH58" s="3">
        <v>282.28140000000002</v>
      </c>
      <c r="AI58" s="3" t="s">
        <v>783</v>
      </c>
      <c r="AJ58" s="3" t="s">
        <v>113</v>
      </c>
      <c r="AK58" s="3" t="s">
        <v>113</v>
      </c>
      <c r="AL58" s="3" t="s">
        <v>113</v>
      </c>
      <c r="AM58" s="3" t="s">
        <v>131</v>
      </c>
      <c r="AN58" s="3" t="s">
        <v>3365</v>
      </c>
      <c r="AO58" s="3" t="s">
        <v>3413</v>
      </c>
      <c r="AP58" s="7" t="s">
        <v>784</v>
      </c>
      <c r="AQ58" s="7">
        <f>VALUE(AP58)</f>
        <v>0.24779999999999999</v>
      </c>
      <c r="AR58" s="3" t="s">
        <v>785</v>
      </c>
      <c r="AS58" s="10">
        <v>0.16020000000000001</v>
      </c>
      <c r="AT58" s="11">
        <f>VALUE(AS58)</f>
        <v>0.16020000000000001</v>
      </c>
      <c r="AU58" s="3" t="s">
        <v>786</v>
      </c>
      <c r="AV58" s="12"/>
      <c r="AW58" s="3" t="s">
        <v>787</v>
      </c>
      <c r="AX58" s="3" t="s">
        <v>788</v>
      </c>
      <c r="AY58" s="3" t="s">
        <v>120</v>
      </c>
      <c r="AZ58" s="3" t="s">
        <v>789</v>
      </c>
      <c r="BA58" s="3" t="s">
        <v>790</v>
      </c>
      <c r="BB58" s="3" t="s">
        <v>791</v>
      </c>
      <c r="BC58" s="3" t="s">
        <v>792</v>
      </c>
      <c r="BD58" s="3" t="s">
        <v>793</v>
      </c>
      <c r="BE58" s="3" t="s">
        <v>794</v>
      </c>
      <c r="BF58" s="3" t="s">
        <v>795</v>
      </c>
      <c r="BG58" s="3" t="s">
        <v>796</v>
      </c>
      <c r="BH58" s="3" t="s">
        <v>797</v>
      </c>
      <c r="BI58" s="3" t="s">
        <v>798</v>
      </c>
      <c r="BJ58" s="3" t="s">
        <v>799</v>
      </c>
      <c r="BK58" s="3" t="s">
        <v>800</v>
      </c>
      <c r="BL58" s="3" t="s">
        <v>801</v>
      </c>
      <c r="BM58" s="3" t="s">
        <v>802</v>
      </c>
      <c r="BN58" s="3" t="s">
        <v>152</v>
      </c>
      <c r="BO58" s="3" t="s">
        <v>152</v>
      </c>
      <c r="BP58" s="3" t="s">
        <v>152</v>
      </c>
      <c r="BQ58" s="3">
        <v>132</v>
      </c>
      <c r="BR58" s="3">
        <v>196</v>
      </c>
      <c r="BS58" s="3">
        <v>75</v>
      </c>
      <c r="BT58" s="3">
        <v>1200</v>
      </c>
      <c r="BU58" s="3">
        <v>324</v>
      </c>
      <c r="BV58" s="3">
        <v>371</v>
      </c>
      <c r="BW58" s="3">
        <v>930</v>
      </c>
      <c r="BX58" s="3" t="s">
        <v>111</v>
      </c>
      <c r="BY58" s="3" t="s">
        <v>153</v>
      </c>
      <c r="BZ58" s="3">
        <v>0</v>
      </c>
      <c r="CA58" s="3" t="s">
        <v>111</v>
      </c>
      <c r="CB58" s="3" t="s">
        <v>111</v>
      </c>
      <c r="CC58" s="3" t="s">
        <v>803</v>
      </c>
      <c r="CD58" s="3" t="s">
        <v>111</v>
      </c>
      <c r="CE58" s="3">
        <v>5022</v>
      </c>
    </row>
    <row r="59" spans="1:83" s="3" customFormat="1" ht="16" x14ac:dyDescent="0.2">
      <c r="A59" s="3" t="s">
        <v>3366</v>
      </c>
      <c r="B59" s="4" t="s">
        <v>4726</v>
      </c>
      <c r="C59" s="4">
        <v>12</v>
      </c>
      <c r="D59" s="5" t="s">
        <v>4734</v>
      </c>
      <c r="E59" s="3" t="s">
        <v>3413</v>
      </c>
      <c r="F59" s="3">
        <v>18046</v>
      </c>
      <c r="G59" s="14">
        <v>45156.527083333334</v>
      </c>
      <c r="H59" s="14">
        <v>45167.685416666667</v>
      </c>
      <c r="I59" s="3" t="s">
        <v>835</v>
      </c>
      <c r="J59" s="3" t="s">
        <v>111</v>
      </c>
      <c r="K59" s="3" t="s">
        <v>111</v>
      </c>
      <c r="L59" s="3" t="s">
        <v>111</v>
      </c>
      <c r="M59" s="3" t="s">
        <v>112</v>
      </c>
      <c r="N59" s="3" t="s">
        <v>113</v>
      </c>
      <c r="O59" s="3" t="s">
        <v>113</v>
      </c>
      <c r="P59" s="3">
        <v>0</v>
      </c>
      <c r="Q59" s="3" t="s">
        <v>113</v>
      </c>
      <c r="R59" s="3" t="s">
        <v>114</v>
      </c>
      <c r="S59" s="3" t="s">
        <v>115</v>
      </c>
      <c r="T59" s="3" t="s">
        <v>116</v>
      </c>
      <c r="U59" s="3" t="s">
        <v>117</v>
      </c>
      <c r="V59" s="3" t="s">
        <v>118</v>
      </c>
      <c r="W59" s="7" t="s">
        <v>836</v>
      </c>
      <c r="X59" s="3" t="s">
        <v>837</v>
      </c>
      <c r="Y59" s="7" t="s">
        <v>838</v>
      </c>
      <c r="Z59" s="3" t="s">
        <v>839</v>
      </c>
      <c r="AA59" s="3" t="s">
        <v>840</v>
      </c>
      <c r="AB59" s="3" t="s">
        <v>841</v>
      </c>
      <c r="AC59" s="3" t="s">
        <v>842</v>
      </c>
      <c r="AD59" s="3" t="s">
        <v>843</v>
      </c>
      <c r="AE59" s="3" t="s">
        <v>844</v>
      </c>
      <c r="AF59" s="3" t="s">
        <v>845</v>
      </c>
      <c r="AG59" s="3" t="s">
        <v>593</v>
      </c>
      <c r="AH59" s="3">
        <v>210.61199999999999</v>
      </c>
      <c r="AI59" s="3" t="s">
        <v>846</v>
      </c>
      <c r="AJ59" s="3" t="s">
        <v>113</v>
      </c>
      <c r="AK59" s="3" t="s">
        <v>113</v>
      </c>
      <c r="AL59" s="3" t="s">
        <v>113</v>
      </c>
      <c r="AM59" s="3" t="s">
        <v>131</v>
      </c>
      <c r="AN59" s="3" t="s">
        <v>3366</v>
      </c>
      <c r="AO59" s="3" t="s">
        <v>3413</v>
      </c>
      <c r="AP59" s="7" t="s">
        <v>847</v>
      </c>
      <c r="AQ59" s="7">
        <f>VALUE(AP59)</f>
        <v>0.29870000000000002</v>
      </c>
      <c r="AR59" s="3" t="s">
        <v>848</v>
      </c>
      <c r="AS59" s="10">
        <v>0.1129</v>
      </c>
      <c r="AT59" s="11">
        <f>VALUE(AS59)</f>
        <v>0.1129</v>
      </c>
      <c r="AU59" s="3" t="s">
        <v>849</v>
      </c>
      <c r="AV59" s="12"/>
      <c r="AW59" s="3" t="s">
        <v>850</v>
      </c>
      <c r="AX59" s="3" t="s">
        <v>851</v>
      </c>
      <c r="AY59" s="3" t="s">
        <v>852</v>
      </c>
      <c r="AZ59" s="3" t="s">
        <v>853</v>
      </c>
      <c r="BA59" s="3" t="s">
        <v>854</v>
      </c>
      <c r="BB59" s="3" t="s">
        <v>855</v>
      </c>
      <c r="BC59" s="3" t="s">
        <v>856</v>
      </c>
      <c r="BD59" s="3" t="s">
        <v>857</v>
      </c>
      <c r="BE59" s="3" t="s">
        <v>673</v>
      </c>
      <c r="BF59" s="3" t="s">
        <v>858</v>
      </c>
      <c r="BG59" s="3" t="s">
        <v>859</v>
      </c>
      <c r="BH59" s="3" t="s">
        <v>860</v>
      </c>
      <c r="BI59" s="3" t="s">
        <v>861</v>
      </c>
      <c r="BJ59" s="3" t="s">
        <v>862</v>
      </c>
      <c r="BK59" s="3" t="s">
        <v>863</v>
      </c>
      <c r="BL59" s="3" t="s">
        <v>864</v>
      </c>
      <c r="BM59" s="3" t="s">
        <v>865</v>
      </c>
      <c r="BN59" s="3" t="s">
        <v>152</v>
      </c>
      <c r="BO59" s="3" t="s">
        <v>152</v>
      </c>
      <c r="BP59" s="3" t="s">
        <v>152</v>
      </c>
      <c r="BQ59" s="3">
        <v>188</v>
      </c>
      <c r="BR59" s="3">
        <v>128</v>
      </c>
      <c r="BS59" s="3">
        <v>108</v>
      </c>
      <c r="BT59" s="3">
        <v>1383</v>
      </c>
      <c r="BU59" s="3">
        <v>716</v>
      </c>
      <c r="BV59" s="3">
        <v>201</v>
      </c>
      <c r="BW59" s="3">
        <v>740</v>
      </c>
      <c r="BX59" s="3" t="s">
        <v>111</v>
      </c>
      <c r="BY59" s="3" t="s">
        <v>153</v>
      </c>
      <c r="BZ59" s="3">
        <v>0</v>
      </c>
      <c r="CA59" s="3" t="s">
        <v>111</v>
      </c>
      <c r="CB59" s="3" t="s">
        <v>111</v>
      </c>
      <c r="CC59" s="3" t="s">
        <v>866</v>
      </c>
      <c r="CD59" s="3" t="s">
        <v>111</v>
      </c>
      <c r="CE59" s="3">
        <v>5022</v>
      </c>
    </row>
    <row r="60" spans="1:83" s="3" customFormat="1" x14ac:dyDescent="0.2">
      <c r="D60" s="5"/>
      <c r="G60" s="14"/>
      <c r="H60" s="14"/>
      <c r="W60" s="7"/>
      <c r="Y60" s="7"/>
      <c r="AP60" s="7"/>
      <c r="AQ60" s="7"/>
      <c r="AS60" s="10"/>
      <c r="AT60" s="11"/>
      <c r="AV60" s="12"/>
    </row>
    <row r="61" spans="1:83" s="3" customFormat="1" x14ac:dyDescent="0.2">
      <c r="D61" s="5"/>
      <c r="G61" s="14"/>
      <c r="H61" s="14"/>
      <c r="W61" s="7"/>
      <c r="Y61" s="7"/>
      <c r="AO61" s="3" t="s">
        <v>4723</v>
      </c>
      <c r="AP61" s="7"/>
      <c r="AQ61" s="7">
        <f>_xlfn.T.TEST(AQ55:AQ59,AQ35:AQ43,2,3)</f>
        <v>2.5398919464444951E-3</v>
      </c>
      <c r="AS61" s="10"/>
      <c r="AT61" s="7">
        <f>_xlfn.T.TEST(AT55:AT59,AT35:AT43,2,3)</f>
        <v>1.3182470957225521E-3</v>
      </c>
      <c r="AV61" s="12"/>
    </row>
    <row r="62" spans="1:83" s="3" customFormat="1" x14ac:dyDescent="0.2">
      <c r="D62" s="5"/>
      <c r="G62" s="14"/>
      <c r="H62" s="14"/>
      <c r="W62" s="7"/>
      <c r="Y62" s="7"/>
      <c r="AO62" s="3" t="s">
        <v>4724</v>
      </c>
      <c r="AP62" s="7"/>
      <c r="AQ62" s="7">
        <f>_xlfn.T.TEST(AQ55:AQ59,AQ46:AQ51,2,3)</f>
        <v>0.30625283668872194</v>
      </c>
      <c r="AS62" s="10"/>
      <c r="AT62" s="7">
        <f>_xlfn.T.TEST(AT55:AT59,AT46:AT51,2,3)</f>
        <v>0.4829366505963758</v>
      </c>
      <c r="AV62" s="12"/>
    </row>
    <row r="65" spans="1:83" s="3" customFormat="1" x14ac:dyDescent="0.2">
      <c r="D65" s="5"/>
      <c r="W65" s="7"/>
      <c r="Y65" s="7"/>
      <c r="AP65" s="7"/>
      <c r="AQ65" s="7"/>
      <c r="AS65" s="10"/>
      <c r="AT65" s="11"/>
      <c r="AV65" s="12"/>
    </row>
    <row r="67" spans="1:83" s="3" customFormat="1" ht="16" x14ac:dyDescent="0.2">
      <c r="A67" s="3" t="s">
        <v>3367</v>
      </c>
      <c r="B67" s="4" t="s">
        <v>4726</v>
      </c>
      <c r="C67" s="4">
        <v>12</v>
      </c>
      <c r="D67" s="5" t="s">
        <v>4732</v>
      </c>
      <c r="E67" s="3" t="s">
        <v>3414</v>
      </c>
      <c r="F67" s="3">
        <v>18047</v>
      </c>
      <c r="G67" s="14">
        <v>45156.545138888891</v>
      </c>
      <c r="H67" s="14">
        <v>45170.309027777781</v>
      </c>
      <c r="I67" s="3" t="s">
        <v>897</v>
      </c>
      <c r="J67" s="3" t="s">
        <v>111</v>
      </c>
      <c r="K67" s="3" t="s">
        <v>111</v>
      </c>
      <c r="L67" s="3" t="s">
        <v>111</v>
      </c>
      <c r="M67" s="3" t="s">
        <v>112</v>
      </c>
      <c r="N67" s="3" t="s">
        <v>113</v>
      </c>
      <c r="O67" s="3" t="s">
        <v>113</v>
      </c>
      <c r="P67" s="3">
        <v>0</v>
      </c>
      <c r="Q67" s="3" t="s">
        <v>113</v>
      </c>
      <c r="R67" s="3" t="s">
        <v>114</v>
      </c>
      <c r="S67" s="3" t="s">
        <v>115</v>
      </c>
      <c r="T67" s="3" t="s">
        <v>116</v>
      </c>
      <c r="U67" s="3" t="s">
        <v>117</v>
      </c>
      <c r="V67" s="3" t="s">
        <v>118</v>
      </c>
      <c r="W67" s="7" t="s">
        <v>926</v>
      </c>
      <c r="X67" s="3" t="s">
        <v>927</v>
      </c>
      <c r="Y67" s="7" t="s">
        <v>928</v>
      </c>
      <c r="Z67" s="3" t="s">
        <v>929</v>
      </c>
      <c r="AA67" s="3" t="s">
        <v>930</v>
      </c>
      <c r="AB67" s="3" t="s">
        <v>931</v>
      </c>
      <c r="AC67" s="3" t="s">
        <v>932</v>
      </c>
      <c r="AD67" s="3" t="s">
        <v>933</v>
      </c>
      <c r="AE67" s="3" t="s">
        <v>934</v>
      </c>
      <c r="AF67" s="3" t="s">
        <v>935</v>
      </c>
      <c r="AG67" s="3" t="s">
        <v>936</v>
      </c>
      <c r="AH67" s="3">
        <v>319.42450000000002</v>
      </c>
      <c r="AI67" s="3" t="s">
        <v>937</v>
      </c>
      <c r="AJ67" s="3" t="s">
        <v>113</v>
      </c>
      <c r="AK67" s="3" t="s">
        <v>113</v>
      </c>
      <c r="AL67" s="3" t="s">
        <v>113</v>
      </c>
      <c r="AM67" s="3" t="s">
        <v>131</v>
      </c>
      <c r="AN67" s="3" t="s">
        <v>3367</v>
      </c>
      <c r="AO67" s="3" t="s">
        <v>3414</v>
      </c>
      <c r="AP67" s="7" t="s">
        <v>938</v>
      </c>
      <c r="AQ67" s="7">
        <f t="shared" ref="AQ67:AQ75" si="10">VALUE(AP67)</f>
        <v>0.69199999999999995</v>
      </c>
      <c r="AR67" s="3" t="s">
        <v>939</v>
      </c>
      <c r="AS67" s="10" t="s">
        <v>940</v>
      </c>
      <c r="AT67" s="11">
        <f t="shared" ref="AT67:AT75" si="11">VALUE(AS67)</f>
        <v>0.2631</v>
      </c>
      <c r="AU67" s="3" t="s">
        <v>941</v>
      </c>
      <c r="AV67" s="12"/>
      <c r="AW67" s="3" t="s">
        <v>942</v>
      </c>
      <c r="AX67" s="3" t="s">
        <v>943</v>
      </c>
      <c r="AY67" s="3" t="s">
        <v>842</v>
      </c>
      <c r="AZ67" s="3" t="s">
        <v>944</v>
      </c>
      <c r="BA67" s="3" t="s">
        <v>945</v>
      </c>
      <c r="BB67" s="3" t="s">
        <v>946</v>
      </c>
      <c r="BC67" s="3" t="s">
        <v>146</v>
      </c>
      <c r="BD67" s="3" t="s">
        <v>947</v>
      </c>
      <c r="BE67" s="3" t="s">
        <v>948</v>
      </c>
      <c r="BF67" s="3" t="s">
        <v>949</v>
      </c>
      <c r="BG67" s="3" t="s">
        <v>950</v>
      </c>
      <c r="BH67" s="3" t="s">
        <v>951</v>
      </c>
      <c r="BI67" s="3" t="s">
        <v>952</v>
      </c>
      <c r="BJ67" s="3" t="s">
        <v>953</v>
      </c>
      <c r="BK67" s="3" t="s">
        <v>954</v>
      </c>
      <c r="BL67" s="3" t="s">
        <v>955</v>
      </c>
      <c r="BM67" s="3" t="s">
        <v>956</v>
      </c>
      <c r="BN67" s="3" t="s">
        <v>152</v>
      </c>
      <c r="BO67" s="3" t="s">
        <v>152</v>
      </c>
      <c r="BP67" s="3" t="s">
        <v>152</v>
      </c>
      <c r="BQ67" s="3">
        <v>220</v>
      </c>
      <c r="BR67" s="3">
        <v>168</v>
      </c>
      <c r="BS67" s="3">
        <v>105</v>
      </c>
      <c r="BT67" s="3">
        <v>1216</v>
      </c>
      <c r="BU67" s="3">
        <v>1225</v>
      </c>
      <c r="BV67" s="3">
        <v>381</v>
      </c>
      <c r="BW67" s="3">
        <v>950</v>
      </c>
      <c r="BX67" s="3" t="s">
        <v>111</v>
      </c>
      <c r="BY67" s="3" t="s">
        <v>153</v>
      </c>
      <c r="BZ67" s="3">
        <v>0</v>
      </c>
      <c r="CA67" s="3" t="s">
        <v>111</v>
      </c>
      <c r="CB67" s="3" t="s">
        <v>111</v>
      </c>
      <c r="CC67" s="3" t="s">
        <v>925</v>
      </c>
      <c r="CD67" s="3" t="s">
        <v>111</v>
      </c>
      <c r="CE67" s="3">
        <v>5022</v>
      </c>
    </row>
    <row r="68" spans="1:83" s="3" customFormat="1" ht="16" x14ac:dyDescent="0.2">
      <c r="A68" s="3" t="s">
        <v>3368</v>
      </c>
      <c r="B68" s="5" t="s">
        <v>4726</v>
      </c>
      <c r="C68" s="4">
        <v>12</v>
      </c>
      <c r="D68" s="5" t="s">
        <v>4732</v>
      </c>
      <c r="E68" s="3" t="s">
        <v>3414</v>
      </c>
      <c r="F68" s="3">
        <v>18048</v>
      </c>
      <c r="G68" s="14">
        <v>45156.563194444447</v>
      </c>
      <c r="H68" s="14">
        <v>45170.30972222222</v>
      </c>
      <c r="I68" s="3" t="s">
        <v>957</v>
      </c>
      <c r="J68" s="3" t="s">
        <v>111</v>
      </c>
      <c r="K68" s="3" t="s">
        <v>111</v>
      </c>
      <c r="L68" s="3" t="s">
        <v>111</v>
      </c>
      <c r="M68" s="3" t="s">
        <v>112</v>
      </c>
      <c r="N68" s="3" t="s">
        <v>113</v>
      </c>
      <c r="O68" s="3" t="s">
        <v>113</v>
      </c>
      <c r="P68" s="3">
        <v>0</v>
      </c>
      <c r="Q68" s="3" t="s">
        <v>113</v>
      </c>
      <c r="R68" s="3" t="s">
        <v>114</v>
      </c>
      <c r="S68" s="3" t="s">
        <v>115</v>
      </c>
      <c r="T68" s="3" t="s">
        <v>116</v>
      </c>
      <c r="U68" s="3" t="s">
        <v>117</v>
      </c>
      <c r="V68" s="3" t="s">
        <v>118</v>
      </c>
      <c r="W68" s="7" t="s">
        <v>989</v>
      </c>
      <c r="X68" s="3" t="s">
        <v>990</v>
      </c>
      <c r="Y68" s="7" t="s">
        <v>991</v>
      </c>
      <c r="Z68" s="3" t="s">
        <v>992</v>
      </c>
      <c r="AA68" s="3" t="s">
        <v>993</v>
      </c>
      <c r="AB68" s="3" t="s">
        <v>994</v>
      </c>
      <c r="AC68" s="3" t="s">
        <v>264</v>
      </c>
      <c r="AD68" s="3" t="s">
        <v>995</v>
      </c>
      <c r="AE68" s="3" t="s">
        <v>996</v>
      </c>
      <c r="AF68" s="3" t="s">
        <v>493</v>
      </c>
      <c r="AG68" s="3" t="s">
        <v>997</v>
      </c>
      <c r="AH68" s="3">
        <v>382.29880000000003</v>
      </c>
      <c r="AI68" s="3" t="s">
        <v>998</v>
      </c>
      <c r="AJ68" s="3" t="s">
        <v>113</v>
      </c>
      <c r="AK68" s="3" t="s">
        <v>113</v>
      </c>
      <c r="AL68" s="3" t="s">
        <v>113</v>
      </c>
      <c r="AM68" s="3" t="s">
        <v>131</v>
      </c>
      <c r="AN68" s="3" t="s">
        <v>3368</v>
      </c>
      <c r="AO68" s="3" t="s">
        <v>3414</v>
      </c>
      <c r="AP68" s="7" t="s">
        <v>999</v>
      </c>
      <c r="AQ68" s="7">
        <f t="shared" si="10"/>
        <v>0.64939999999999998</v>
      </c>
      <c r="AR68" s="3" t="s">
        <v>1000</v>
      </c>
      <c r="AS68" s="10" t="s">
        <v>1001</v>
      </c>
      <c r="AT68" s="11">
        <f t="shared" si="11"/>
        <v>0.33629999999999999</v>
      </c>
      <c r="AU68" s="3" t="s">
        <v>1002</v>
      </c>
      <c r="AV68" s="12"/>
      <c r="AW68" s="3" t="s">
        <v>1003</v>
      </c>
      <c r="AX68" s="3" t="s">
        <v>1004</v>
      </c>
      <c r="AY68" s="3" t="s">
        <v>1005</v>
      </c>
      <c r="AZ68" s="3" t="s">
        <v>652</v>
      </c>
      <c r="BA68" s="3" t="s">
        <v>1006</v>
      </c>
      <c r="BB68" s="3" t="s">
        <v>1007</v>
      </c>
      <c r="BC68" s="3" t="s">
        <v>1008</v>
      </c>
      <c r="BD68" s="3" t="s">
        <v>1009</v>
      </c>
      <c r="BE68" s="3" t="s">
        <v>1010</v>
      </c>
      <c r="BF68" s="3" t="s">
        <v>1010</v>
      </c>
      <c r="BG68" s="3" t="s">
        <v>660</v>
      </c>
      <c r="BH68" s="3" t="s">
        <v>1011</v>
      </c>
      <c r="BI68" s="3" t="s">
        <v>1012</v>
      </c>
      <c r="BJ68" s="3" t="s">
        <v>1013</v>
      </c>
      <c r="BK68" s="3" t="s">
        <v>1014</v>
      </c>
      <c r="BL68" s="3" t="s">
        <v>1015</v>
      </c>
      <c r="BM68" s="3" t="s">
        <v>1016</v>
      </c>
      <c r="BN68" s="3" t="s">
        <v>152</v>
      </c>
      <c r="BO68" s="3" t="s">
        <v>152</v>
      </c>
      <c r="BP68" s="3" t="s">
        <v>152</v>
      </c>
      <c r="BQ68" s="3">
        <v>192</v>
      </c>
      <c r="BR68" s="3">
        <v>188</v>
      </c>
      <c r="BS68" s="3">
        <v>86</v>
      </c>
      <c r="BT68" s="3">
        <v>1178</v>
      </c>
      <c r="BU68" s="3">
        <v>1370</v>
      </c>
      <c r="BV68" s="3">
        <v>744</v>
      </c>
      <c r="BW68" s="3">
        <v>1110</v>
      </c>
      <c r="BX68" s="3" t="s">
        <v>111</v>
      </c>
      <c r="BY68" s="3" t="s">
        <v>153</v>
      </c>
      <c r="BZ68" s="3">
        <v>0</v>
      </c>
      <c r="CA68" s="3" t="s">
        <v>111</v>
      </c>
      <c r="CB68" s="3" t="s">
        <v>111</v>
      </c>
      <c r="CC68" s="3" t="s">
        <v>988</v>
      </c>
      <c r="CD68" s="3" t="s">
        <v>111</v>
      </c>
      <c r="CE68" s="3">
        <v>5022</v>
      </c>
    </row>
    <row r="69" spans="1:83" s="3" customFormat="1" ht="16" x14ac:dyDescent="0.2">
      <c r="A69" s="3" t="s">
        <v>3369</v>
      </c>
      <c r="B69" s="4" t="s">
        <v>4726</v>
      </c>
      <c r="C69" s="4">
        <v>12</v>
      </c>
      <c r="D69" s="5" t="s">
        <v>4732</v>
      </c>
      <c r="E69" s="3" t="s">
        <v>3414</v>
      </c>
      <c r="F69" s="3">
        <v>18049</v>
      </c>
      <c r="G69" s="14">
        <v>45156.543055555558</v>
      </c>
      <c r="H69" s="14">
        <v>45170.311111111114</v>
      </c>
      <c r="I69" s="3" t="s">
        <v>1017</v>
      </c>
      <c r="J69" s="3" t="s">
        <v>111</v>
      </c>
      <c r="K69" s="3" t="s">
        <v>111</v>
      </c>
      <c r="L69" s="3" t="s">
        <v>111</v>
      </c>
      <c r="M69" s="3" t="s">
        <v>112</v>
      </c>
      <c r="N69" s="3" t="s">
        <v>113</v>
      </c>
      <c r="O69" s="3" t="s">
        <v>113</v>
      </c>
      <c r="P69" s="3">
        <v>0</v>
      </c>
      <c r="Q69" s="3" t="s">
        <v>113</v>
      </c>
      <c r="R69" s="3" t="s">
        <v>114</v>
      </c>
      <c r="S69" s="3" t="s">
        <v>115</v>
      </c>
      <c r="T69" s="3" t="s">
        <v>116</v>
      </c>
      <c r="U69" s="3" t="s">
        <v>117</v>
      </c>
      <c r="V69" s="3" t="s">
        <v>118</v>
      </c>
      <c r="W69" s="7" t="s">
        <v>1047</v>
      </c>
      <c r="X69" s="3" t="s">
        <v>1048</v>
      </c>
      <c r="Y69" s="7" t="s">
        <v>1049</v>
      </c>
      <c r="Z69" s="3" t="s">
        <v>1050</v>
      </c>
      <c r="AA69" s="3" t="s">
        <v>1051</v>
      </c>
      <c r="AB69" s="3" t="s">
        <v>1052</v>
      </c>
      <c r="AC69" s="3" t="s">
        <v>1053</v>
      </c>
      <c r="AD69" s="3" t="s">
        <v>1054</v>
      </c>
      <c r="AE69" s="3" t="s">
        <v>1055</v>
      </c>
      <c r="AF69" s="3" t="s">
        <v>337</v>
      </c>
      <c r="AG69" s="3" t="s">
        <v>1056</v>
      </c>
      <c r="AH69" s="3">
        <v>327.0566</v>
      </c>
      <c r="AI69" s="3" t="s">
        <v>1057</v>
      </c>
      <c r="AJ69" s="3" t="s">
        <v>113</v>
      </c>
      <c r="AK69" s="3" t="s">
        <v>113</v>
      </c>
      <c r="AL69" s="3" t="s">
        <v>113</v>
      </c>
      <c r="AM69" s="3" t="s">
        <v>131</v>
      </c>
      <c r="AN69" s="3" t="s">
        <v>3369</v>
      </c>
      <c r="AO69" s="3" t="s">
        <v>3414</v>
      </c>
      <c r="AP69" s="7" t="s">
        <v>1058</v>
      </c>
      <c r="AQ69" s="7">
        <f t="shared" si="10"/>
        <v>0.70120000000000005</v>
      </c>
      <c r="AR69" s="3" t="s">
        <v>1059</v>
      </c>
      <c r="AS69" s="10" t="s">
        <v>1060</v>
      </c>
      <c r="AT69" s="11">
        <f t="shared" si="11"/>
        <v>0.26769999999999999</v>
      </c>
      <c r="AU69" s="3" t="s">
        <v>1061</v>
      </c>
      <c r="AV69" s="12"/>
      <c r="AW69" s="3" t="s">
        <v>1062</v>
      </c>
      <c r="AX69" s="3" t="s">
        <v>1063</v>
      </c>
      <c r="AY69" s="3" t="s">
        <v>1064</v>
      </c>
      <c r="AZ69" s="3" t="s">
        <v>1065</v>
      </c>
      <c r="BA69" s="3" t="s">
        <v>1066</v>
      </c>
      <c r="BB69" s="3" t="s">
        <v>1067</v>
      </c>
      <c r="BC69" s="3" t="s">
        <v>1068</v>
      </c>
      <c r="BD69" s="3" t="s">
        <v>1069</v>
      </c>
      <c r="BE69" s="3" t="s">
        <v>1070</v>
      </c>
      <c r="BF69" s="3" t="s">
        <v>1071</v>
      </c>
      <c r="BG69" s="3" t="s">
        <v>1072</v>
      </c>
      <c r="BH69" s="3" t="s">
        <v>1073</v>
      </c>
      <c r="BI69" s="3" t="s">
        <v>1074</v>
      </c>
      <c r="BJ69" s="3" t="s">
        <v>1075</v>
      </c>
      <c r="BK69" s="3" t="s">
        <v>1076</v>
      </c>
      <c r="BL69" s="3" t="s">
        <v>1077</v>
      </c>
      <c r="BM69" s="3" t="s">
        <v>1078</v>
      </c>
      <c r="BN69" s="3" t="s">
        <v>152</v>
      </c>
      <c r="BO69" s="3" t="s">
        <v>152</v>
      </c>
      <c r="BP69" s="3" t="s">
        <v>152</v>
      </c>
      <c r="BQ69" s="3">
        <v>172</v>
      </c>
      <c r="BR69" s="3">
        <v>216</v>
      </c>
      <c r="BS69" s="3">
        <v>94</v>
      </c>
      <c r="BT69" s="3">
        <v>662</v>
      </c>
      <c r="BU69" s="3">
        <v>1401</v>
      </c>
      <c r="BV69" s="3">
        <v>836</v>
      </c>
      <c r="BW69" s="3">
        <v>1126</v>
      </c>
      <c r="BX69" s="3" t="s">
        <v>111</v>
      </c>
      <c r="BY69" s="3" t="s">
        <v>153</v>
      </c>
      <c r="BZ69" s="3">
        <v>0</v>
      </c>
      <c r="CA69" s="3" t="s">
        <v>111</v>
      </c>
      <c r="CB69" s="3" t="s">
        <v>111</v>
      </c>
      <c r="CC69" s="3" t="s">
        <v>1046</v>
      </c>
      <c r="CD69" s="3" t="s">
        <v>111</v>
      </c>
      <c r="CE69" s="3">
        <v>5022</v>
      </c>
    </row>
    <row r="70" spans="1:83" s="3" customFormat="1" x14ac:dyDescent="0.2">
      <c r="A70" s="3" t="s">
        <v>3401</v>
      </c>
      <c r="B70" s="5" t="s">
        <v>4727</v>
      </c>
      <c r="C70" s="5">
        <v>10</v>
      </c>
      <c r="D70" s="5" t="s">
        <v>4732</v>
      </c>
      <c r="E70" s="3" t="s">
        <v>3414</v>
      </c>
      <c r="F70" s="3">
        <v>17302</v>
      </c>
      <c r="G70" s="14">
        <v>44747.53125</v>
      </c>
      <c r="H70" s="14">
        <v>45159.508333333331</v>
      </c>
      <c r="I70" s="3" t="s">
        <v>2591</v>
      </c>
      <c r="J70" s="3" t="s">
        <v>111</v>
      </c>
      <c r="K70" s="3" t="s">
        <v>111</v>
      </c>
      <c r="L70" s="3" t="s">
        <v>111</v>
      </c>
      <c r="M70" s="3" t="s">
        <v>112</v>
      </c>
      <c r="N70" s="3" t="s">
        <v>2165</v>
      </c>
      <c r="O70" s="3" t="s">
        <v>2166</v>
      </c>
      <c r="P70" s="3">
        <v>36</v>
      </c>
      <c r="Q70" s="3" t="s">
        <v>2167</v>
      </c>
      <c r="R70" s="3" t="s">
        <v>114</v>
      </c>
      <c r="S70" s="3" t="s">
        <v>115</v>
      </c>
      <c r="T70" s="3" t="s">
        <v>116</v>
      </c>
      <c r="U70" s="3" t="s">
        <v>117</v>
      </c>
      <c r="V70" s="3" t="s">
        <v>118</v>
      </c>
      <c r="W70" s="7" t="s">
        <v>2891</v>
      </c>
      <c r="X70" s="3" t="s">
        <v>1387</v>
      </c>
      <c r="Y70" s="7" t="s">
        <v>1553</v>
      </c>
      <c r="Z70" s="3" t="s">
        <v>2892</v>
      </c>
      <c r="AA70" s="3" t="s">
        <v>2893</v>
      </c>
      <c r="AB70" s="3" t="s">
        <v>2894</v>
      </c>
      <c r="AC70" s="3" t="s">
        <v>2895</v>
      </c>
      <c r="AD70" s="3" t="s">
        <v>2896</v>
      </c>
      <c r="AE70" s="3" t="s">
        <v>374</v>
      </c>
      <c r="AF70" s="3" t="s">
        <v>1634</v>
      </c>
      <c r="AG70" s="3" t="s">
        <v>2897</v>
      </c>
      <c r="AH70" s="3">
        <v>289.8408</v>
      </c>
      <c r="AI70" s="3" t="s">
        <v>2898</v>
      </c>
      <c r="AJ70" s="3" t="s">
        <v>113</v>
      </c>
      <c r="AK70" s="3" t="s">
        <v>113</v>
      </c>
      <c r="AL70" s="3" t="s">
        <v>113</v>
      </c>
      <c r="AM70" s="3" t="s">
        <v>131</v>
      </c>
      <c r="AN70" s="3" t="s">
        <v>3401</v>
      </c>
      <c r="AO70" s="3" t="s">
        <v>3414</v>
      </c>
      <c r="AP70" s="7" t="s">
        <v>2899</v>
      </c>
      <c r="AQ70" s="7">
        <f t="shared" si="10"/>
        <v>0.74129999999999996</v>
      </c>
      <c r="AR70" s="3" t="s">
        <v>2079</v>
      </c>
      <c r="AS70" s="10" t="s">
        <v>2900</v>
      </c>
      <c r="AT70" s="11">
        <f t="shared" si="11"/>
        <v>0.23910000000000001</v>
      </c>
      <c r="AU70" s="3" t="s">
        <v>2901</v>
      </c>
      <c r="AV70" s="12"/>
      <c r="AW70" s="3" t="s">
        <v>2902</v>
      </c>
      <c r="AX70" s="3" t="s">
        <v>2903</v>
      </c>
      <c r="AY70" s="3" t="s">
        <v>2700</v>
      </c>
      <c r="AZ70" s="3" t="s">
        <v>775</v>
      </c>
      <c r="BA70" s="3" t="s">
        <v>2904</v>
      </c>
      <c r="BB70" s="3" t="s">
        <v>2905</v>
      </c>
      <c r="BC70" s="3" t="s">
        <v>2906</v>
      </c>
      <c r="BD70" s="3" t="s">
        <v>2907</v>
      </c>
      <c r="BE70" s="3" t="s">
        <v>442</v>
      </c>
      <c r="BF70" s="3" t="s">
        <v>2908</v>
      </c>
      <c r="BG70" s="3" t="s">
        <v>1631</v>
      </c>
      <c r="BH70" s="3" t="s">
        <v>2752</v>
      </c>
      <c r="BI70" s="3" t="s">
        <v>2909</v>
      </c>
      <c r="BJ70" s="3" t="s">
        <v>2910</v>
      </c>
      <c r="BK70" s="3" t="s">
        <v>2911</v>
      </c>
      <c r="BL70" s="3" t="s">
        <v>2912</v>
      </c>
      <c r="BM70" s="3" t="s">
        <v>2913</v>
      </c>
      <c r="BN70" s="3" t="s">
        <v>152</v>
      </c>
      <c r="BO70" s="3" t="s">
        <v>152</v>
      </c>
      <c r="BP70" s="3" t="s">
        <v>152</v>
      </c>
      <c r="BQ70" s="3">
        <v>224</v>
      </c>
      <c r="BR70" s="3">
        <v>184</v>
      </c>
      <c r="BS70" s="3">
        <v>78</v>
      </c>
      <c r="BT70" s="3">
        <v>1225</v>
      </c>
      <c r="BU70" s="3">
        <v>1285</v>
      </c>
      <c r="BV70" s="3">
        <v>541</v>
      </c>
      <c r="BW70" s="3">
        <v>1685</v>
      </c>
      <c r="BX70" s="3" t="s">
        <v>153</v>
      </c>
      <c r="BY70" s="3" t="s">
        <v>153</v>
      </c>
      <c r="BZ70" s="3">
        <v>0</v>
      </c>
      <c r="CA70" s="3" t="s">
        <v>2593</v>
      </c>
      <c r="CB70" s="3" t="s">
        <v>111</v>
      </c>
      <c r="CC70" s="3" t="s">
        <v>2593</v>
      </c>
      <c r="CD70" s="3" t="s">
        <v>111</v>
      </c>
      <c r="CE70" s="3">
        <v>5022</v>
      </c>
    </row>
    <row r="71" spans="1:83" s="3" customFormat="1" x14ac:dyDescent="0.2">
      <c r="A71" s="3" t="s">
        <v>3402</v>
      </c>
      <c r="B71" s="5" t="s">
        <v>4727</v>
      </c>
      <c r="C71" s="5">
        <v>10</v>
      </c>
      <c r="D71" s="5" t="s">
        <v>4732</v>
      </c>
      <c r="E71" s="3" t="s">
        <v>3414</v>
      </c>
      <c r="F71" s="3">
        <v>17302</v>
      </c>
      <c r="G71" s="14">
        <v>44747.53125</v>
      </c>
      <c r="H71" s="14">
        <v>45159.512499999997</v>
      </c>
      <c r="I71" s="3" t="s">
        <v>2591</v>
      </c>
      <c r="J71" s="3" t="s">
        <v>111</v>
      </c>
      <c r="K71" s="3" t="s">
        <v>111</v>
      </c>
      <c r="L71" s="3" t="s">
        <v>111</v>
      </c>
      <c r="M71" s="3" t="s">
        <v>112</v>
      </c>
      <c r="N71" s="3" t="s">
        <v>2165</v>
      </c>
      <c r="O71" s="3" t="s">
        <v>2166</v>
      </c>
      <c r="P71" s="3">
        <v>36</v>
      </c>
      <c r="Q71" s="3" t="s">
        <v>2167</v>
      </c>
      <c r="R71" s="3" t="s">
        <v>114</v>
      </c>
      <c r="S71" s="3" t="s">
        <v>115</v>
      </c>
      <c r="T71" s="3" t="s">
        <v>116</v>
      </c>
      <c r="U71" s="3" t="s">
        <v>117</v>
      </c>
      <c r="V71" s="3" t="s">
        <v>118</v>
      </c>
      <c r="W71" s="7" t="s">
        <v>2914</v>
      </c>
      <c r="X71" s="3" t="s">
        <v>2915</v>
      </c>
      <c r="Y71" s="7" t="s">
        <v>2916</v>
      </c>
      <c r="Z71" s="3" t="s">
        <v>2917</v>
      </c>
      <c r="AA71" s="3" t="s">
        <v>1790</v>
      </c>
      <c r="AB71" s="3" t="s">
        <v>2918</v>
      </c>
      <c r="AC71" s="3" t="s">
        <v>607</v>
      </c>
      <c r="AD71" s="3" t="s">
        <v>965</v>
      </c>
      <c r="AE71" s="3" t="s">
        <v>1230</v>
      </c>
      <c r="AF71" s="3" t="s">
        <v>917</v>
      </c>
      <c r="AG71" s="3" t="s">
        <v>2919</v>
      </c>
      <c r="AH71" s="3">
        <v>429.5453</v>
      </c>
      <c r="AI71" s="3" t="s">
        <v>2920</v>
      </c>
      <c r="AJ71" s="3" t="s">
        <v>113</v>
      </c>
      <c r="AK71" s="3" t="s">
        <v>113</v>
      </c>
      <c r="AL71" s="3" t="s">
        <v>113</v>
      </c>
      <c r="AM71" s="3" t="s">
        <v>131</v>
      </c>
      <c r="AN71" s="3" t="s">
        <v>3402</v>
      </c>
      <c r="AO71" s="3" t="s">
        <v>3414</v>
      </c>
      <c r="AP71" s="7" t="s">
        <v>2921</v>
      </c>
      <c r="AQ71" s="7">
        <f t="shared" si="10"/>
        <v>0.56499999999999995</v>
      </c>
      <c r="AR71" s="3" t="s">
        <v>2922</v>
      </c>
      <c r="AS71" s="10" t="s">
        <v>2923</v>
      </c>
      <c r="AT71" s="11">
        <f t="shared" si="11"/>
        <v>0.40600000000000003</v>
      </c>
      <c r="AU71" s="3" t="s">
        <v>2924</v>
      </c>
      <c r="AV71" s="12"/>
      <c r="AW71" s="3" t="s">
        <v>2925</v>
      </c>
      <c r="AX71" s="3" t="s">
        <v>2926</v>
      </c>
      <c r="AY71" s="3" t="s">
        <v>2927</v>
      </c>
      <c r="AZ71" s="3" t="s">
        <v>2928</v>
      </c>
      <c r="BA71" s="3" t="s">
        <v>2929</v>
      </c>
      <c r="BB71" s="3" t="s">
        <v>2382</v>
      </c>
      <c r="BC71" s="3" t="s">
        <v>2592</v>
      </c>
      <c r="BD71" s="3" t="s">
        <v>2930</v>
      </c>
      <c r="BE71" s="3" t="s">
        <v>2931</v>
      </c>
      <c r="BF71" s="3" t="s">
        <v>980</v>
      </c>
      <c r="BG71" s="3" t="s">
        <v>2382</v>
      </c>
      <c r="BH71" s="3" t="s">
        <v>1479</v>
      </c>
      <c r="BI71" s="3" t="s">
        <v>2932</v>
      </c>
      <c r="BJ71" s="3" t="s">
        <v>2933</v>
      </c>
      <c r="BK71" s="3" t="s">
        <v>2934</v>
      </c>
      <c r="BL71" s="3" t="s">
        <v>2450</v>
      </c>
      <c r="BM71" s="3" t="s">
        <v>2935</v>
      </c>
      <c r="BN71" s="3" t="s">
        <v>152</v>
      </c>
      <c r="BO71" s="3" t="s">
        <v>152</v>
      </c>
      <c r="BP71" s="3" t="s">
        <v>152</v>
      </c>
      <c r="BQ71" s="3">
        <v>152</v>
      </c>
      <c r="BR71" s="3">
        <v>236</v>
      </c>
      <c r="BS71" s="3">
        <v>72</v>
      </c>
      <c r="BT71" s="3">
        <v>956</v>
      </c>
      <c r="BU71" s="3">
        <v>1549</v>
      </c>
      <c r="BV71" s="3">
        <v>371</v>
      </c>
      <c r="BW71" s="3">
        <v>1685</v>
      </c>
      <c r="BX71" s="3" t="s">
        <v>153</v>
      </c>
      <c r="BY71" s="3" t="s">
        <v>153</v>
      </c>
      <c r="BZ71" s="3">
        <v>0</v>
      </c>
      <c r="CA71" s="3" t="s">
        <v>2593</v>
      </c>
      <c r="CB71" s="3" t="s">
        <v>111</v>
      </c>
      <c r="CC71" s="3" t="s">
        <v>2593</v>
      </c>
      <c r="CD71" s="3" t="s">
        <v>111</v>
      </c>
      <c r="CE71" s="3">
        <v>5022</v>
      </c>
    </row>
    <row r="72" spans="1:83" s="3" customFormat="1" x14ac:dyDescent="0.2">
      <c r="A72" s="3" t="s">
        <v>3403</v>
      </c>
      <c r="B72" s="5" t="s">
        <v>4727</v>
      </c>
      <c r="C72" s="5">
        <v>12</v>
      </c>
      <c r="D72" s="5" t="s">
        <v>4732</v>
      </c>
      <c r="E72" s="3" t="s">
        <v>3414</v>
      </c>
      <c r="F72" s="3">
        <v>17302</v>
      </c>
      <c r="G72" s="14">
        <v>44747.53125</v>
      </c>
      <c r="H72" s="14">
        <v>45159.515972222223</v>
      </c>
      <c r="I72" s="3" t="s">
        <v>2591</v>
      </c>
      <c r="J72" s="3" t="s">
        <v>111</v>
      </c>
      <c r="K72" s="3" t="s">
        <v>111</v>
      </c>
      <c r="L72" s="3" t="s">
        <v>111</v>
      </c>
      <c r="M72" s="3" t="s">
        <v>112</v>
      </c>
      <c r="N72" s="3" t="s">
        <v>2165</v>
      </c>
      <c r="O72" s="3" t="s">
        <v>2166</v>
      </c>
      <c r="P72" s="3">
        <v>36</v>
      </c>
      <c r="Q72" s="3" t="s">
        <v>2167</v>
      </c>
      <c r="R72" s="3" t="s">
        <v>114</v>
      </c>
      <c r="S72" s="3" t="s">
        <v>115</v>
      </c>
      <c r="T72" s="3" t="s">
        <v>116</v>
      </c>
      <c r="U72" s="3" t="s">
        <v>117</v>
      </c>
      <c r="V72" s="3" t="s">
        <v>118</v>
      </c>
      <c r="W72" s="7" t="s">
        <v>2936</v>
      </c>
      <c r="X72" s="3" t="s">
        <v>2937</v>
      </c>
      <c r="Y72" s="7" t="s">
        <v>2938</v>
      </c>
      <c r="Z72" s="3" t="s">
        <v>2939</v>
      </c>
      <c r="AA72" s="3" t="s">
        <v>2940</v>
      </c>
      <c r="AB72" s="3" t="s">
        <v>2941</v>
      </c>
      <c r="AC72" s="3" t="s">
        <v>2942</v>
      </c>
      <c r="AD72" s="3" t="s">
        <v>2943</v>
      </c>
      <c r="AE72" s="3" t="s">
        <v>1340</v>
      </c>
      <c r="AF72" s="3" t="s">
        <v>480</v>
      </c>
      <c r="AG72" s="3" t="s">
        <v>1483</v>
      </c>
      <c r="AH72" s="3">
        <v>298.99939999999998</v>
      </c>
      <c r="AI72" s="3" t="s">
        <v>2944</v>
      </c>
      <c r="AJ72" s="3" t="s">
        <v>113</v>
      </c>
      <c r="AK72" s="3" t="s">
        <v>113</v>
      </c>
      <c r="AL72" s="3" t="s">
        <v>113</v>
      </c>
      <c r="AM72" s="3" t="s">
        <v>131</v>
      </c>
      <c r="AN72" s="3" t="s">
        <v>3403</v>
      </c>
      <c r="AO72" s="3" t="s">
        <v>3414</v>
      </c>
      <c r="AP72" s="7" t="s">
        <v>2945</v>
      </c>
      <c r="AQ72" s="7">
        <f t="shared" si="10"/>
        <v>0.72870000000000001</v>
      </c>
      <c r="AR72" s="3" t="s">
        <v>2946</v>
      </c>
      <c r="AS72" s="10" t="s">
        <v>2947</v>
      </c>
      <c r="AT72" s="11">
        <f t="shared" si="11"/>
        <v>0.25040000000000001</v>
      </c>
      <c r="AU72" s="3" t="s">
        <v>2948</v>
      </c>
      <c r="AV72" s="12"/>
      <c r="AW72" s="3" t="s">
        <v>2949</v>
      </c>
      <c r="AX72" s="3" t="s">
        <v>2950</v>
      </c>
      <c r="AY72" s="3" t="s">
        <v>2951</v>
      </c>
      <c r="AZ72" s="3" t="s">
        <v>1577</v>
      </c>
      <c r="BA72" s="3" t="s">
        <v>2952</v>
      </c>
      <c r="BB72" s="3" t="s">
        <v>529</v>
      </c>
      <c r="BC72" s="3" t="s">
        <v>2673</v>
      </c>
      <c r="BD72" s="3" t="s">
        <v>234</v>
      </c>
      <c r="BE72" s="3" t="s">
        <v>2838</v>
      </c>
      <c r="BF72" s="3" t="s">
        <v>2953</v>
      </c>
      <c r="BG72" s="3" t="s">
        <v>2954</v>
      </c>
      <c r="BH72" s="3" t="s">
        <v>2955</v>
      </c>
      <c r="BI72" s="3" t="s">
        <v>2956</v>
      </c>
      <c r="BJ72" s="3" t="s">
        <v>1233</v>
      </c>
      <c r="BK72" s="3" t="s">
        <v>2957</v>
      </c>
      <c r="BL72" s="3" t="s">
        <v>2247</v>
      </c>
      <c r="BM72" s="3" t="s">
        <v>2524</v>
      </c>
      <c r="BN72" s="3" t="s">
        <v>152</v>
      </c>
      <c r="BO72" s="3" t="s">
        <v>152</v>
      </c>
      <c r="BP72" s="3" t="s">
        <v>152</v>
      </c>
      <c r="BQ72" s="3">
        <v>176</v>
      </c>
      <c r="BR72" s="3">
        <v>244</v>
      </c>
      <c r="BS72" s="3">
        <v>83</v>
      </c>
      <c r="BT72" s="3">
        <v>398</v>
      </c>
      <c r="BU72" s="3">
        <v>1472</v>
      </c>
      <c r="BV72" s="3">
        <v>281</v>
      </c>
      <c r="BW72" s="3">
        <v>1685</v>
      </c>
      <c r="BX72" s="3" t="s">
        <v>153</v>
      </c>
      <c r="BY72" s="3" t="s">
        <v>153</v>
      </c>
      <c r="BZ72" s="3">
        <v>0</v>
      </c>
      <c r="CA72" s="3" t="s">
        <v>2593</v>
      </c>
      <c r="CB72" s="3" t="s">
        <v>111</v>
      </c>
      <c r="CC72" s="3" t="s">
        <v>2593</v>
      </c>
      <c r="CD72" s="3" t="s">
        <v>111</v>
      </c>
      <c r="CE72" s="3">
        <v>5022</v>
      </c>
    </row>
    <row r="73" spans="1:83" s="3" customFormat="1" x14ac:dyDescent="0.2">
      <c r="A73" s="3" t="s">
        <v>3404</v>
      </c>
      <c r="B73" s="5" t="s">
        <v>4726</v>
      </c>
      <c r="C73" s="5">
        <v>12</v>
      </c>
      <c r="D73" s="5" t="s">
        <v>4732</v>
      </c>
      <c r="E73" s="3" t="s">
        <v>3414</v>
      </c>
      <c r="F73" s="3">
        <v>17302</v>
      </c>
      <c r="G73" s="14">
        <v>44747.53125</v>
      </c>
      <c r="H73" s="14">
        <v>45159.518750000003</v>
      </c>
      <c r="I73" s="3" t="s">
        <v>2591</v>
      </c>
      <c r="J73" s="3" t="s">
        <v>111</v>
      </c>
      <c r="K73" s="3" t="s">
        <v>111</v>
      </c>
      <c r="L73" s="3" t="s">
        <v>111</v>
      </c>
      <c r="M73" s="3" t="s">
        <v>112</v>
      </c>
      <c r="N73" s="3" t="s">
        <v>2165</v>
      </c>
      <c r="O73" s="3" t="s">
        <v>2166</v>
      </c>
      <c r="P73" s="3">
        <v>36</v>
      </c>
      <c r="Q73" s="3" t="s">
        <v>2167</v>
      </c>
      <c r="R73" s="3" t="s">
        <v>114</v>
      </c>
      <c r="S73" s="3" t="s">
        <v>115</v>
      </c>
      <c r="T73" s="3" t="s">
        <v>116</v>
      </c>
      <c r="U73" s="3" t="s">
        <v>117</v>
      </c>
      <c r="V73" s="3" t="s">
        <v>118</v>
      </c>
      <c r="W73" s="7" t="s">
        <v>2958</v>
      </c>
      <c r="X73" s="3" t="s">
        <v>2959</v>
      </c>
      <c r="Y73" s="7" t="s">
        <v>2960</v>
      </c>
      <c r="Z73" s="3" t="s">
        <v>2961</v>
      </c>
      <c r="AA73" s="3" t="s">
        <v>2962</v>
      </c>
      <c r="AB73" s="3" t="s">
        <v>2963</v>
      </c>
      <c r="AC73" s="3" t="s">
        <v>2964</v>
      </c>
      <c r="AD73" s="3" t="s">
        <v>2965</v>
      </c>
      <c r="AE73" s="3" t="s">
        <v>2966</v>
      </c>
      <c r="AF73" s="3" t="s">
        <v>1223</v>
      </c>
      <c r="AG73" s="3" t="s">
        <v>2967</v>
      </c>
      <c r="AH73" s="3">
        <v>298.05439999999999</v>
      </c>
      <c r="AI73" s="3" t="s">
        <v>2968</v>
      </c>
      <c r="AJ73" s="3" t="s">
        <v>113</v>
      </c>
      <c r="AK73" s="3" t="s">
        <v>113</v>
      </c>
      <c r="AL73" s="3" t="s">
        <v>113</v>
      </c>
      <c r="AM73" s="3" t="s">
        <v>131</v>
      </c>
      <c r="AN73" s="3" t="s">
        <v>3404</v>
      </c>
      <c r="AO73" s="3" t="s">
        <v>3414</v>
      </c>
      <c r="AP73" s="7" t="s">
        <v>2969</v>
      </c>
      <c r="AQ73" s="7">
        <f t="shared" si="10"/>
        <v>0.65510000000000002</v>
      </c>
      <c r="AR73" s="3" t="s">
        <v>2595</v>
      </c>
      <c r="AS73" s="10" t="s">
        <v>2970</v>
      </c>
      <c r="AT73" s="11">
        <f t="shared" si="11"/>
        <v>0.23100000000000001</v>
      </c>
      <c r="AU73" s="3" t="s">
        <v>2971</v>
      </c>
      <c r="AV73" s="12"/>
      <c r="AW73" s="3" t="s">
        <v>2972</v>
      </c>
      <c r="AX73" s="3" t="s">
        <v>2973</v>
      </c>
      <c r="AY73" s="3" t="s">
        <v>1064</v>
      </c>
      <c r="AZ73" s="3" t="s">
        <v>2974</v>
      </c>
      <c r="BA73" s="3" t="s">
        <v>2975</v>
      </c>
      <c r="BB73" s="3" t="s">
        <v>2976</v>
      </c>
      <c r="BC73" s="3" t="s">
        <v>2977</v>
      </c>
      <c r="BD73" s="3" t="s">
        <v>2978</v>
      </c>
      <c r="BE73" s="3" t="s">
        <v>2979</v>
      </c>
      <c r="BF73" s="3" t="s">
        <v>2659</v>
      </c>
      <c r="BG73" s="3" t="s">
        <v>2980</v>
      </c>
      <c r="BH73" s="3" t="s">
        <v>2981</v>
      </c>
      <c r="BI73" s="3" t="s">
        <v>2982</v>
      </c>
      <c r="BJ73" s="3" t="s">
        <v>2983</v>
      </c>
      <c r="BK73" s="3" t="s">
        <v>2984</v>
      </c>
      <c r="BL73" s="3" t="s">
        <v>2985</v>
      </c>
      <c r="BM73" s="3" t="s">
        <v>2590</v>
      </c>
      <c r="BN73" s="3" t="s">
        <v>152</v>
      </c>
      <c r="BO73" s="3" t="s">
        <v>152</v>
      </c>
      <c r="BP73" s="3" t="s">
        <v>152</v>
      </c>
      <c r="BQ73" s="3">
        <v>220</v>
      </c>
      <c r="BR73" s="3">
        <v>176</v>
      </c>
      <c r="BS73" s="3">
        <v>79</v>
      </c>
      <c r="BT73" s="3">
        <v>191</v>
      </c>
      <c r="BU73" s="3">
        <v>1079</v>
      </c>
      <c r="BV73" s="3">
        <v>251</v>
      </c>
      <c r="BW73" s="3">
        <v>1685</v>
      </c>
      <c r="BX73" s="3" t="s">
        <v>153</v>
      </c>
      <c r="BY73" s="3" t="s">
        <v>153</v>
      </c>
      <c r="BZ73" s="3">
        <v>0</v>
      </c>
      <c r="CA73" s="3" t="s">
        <v>2593</v>
      </c>
      <c r="CB73" s="3" t="s">
        <v>111</v>
      </c>
      <c r="CC73" s="3" t="s">
        <v>2593</v>
      </c>
      <c r="CD73" s="3" t="s">
        <v>111</v>
      </c>
      <c r="CE73" s="3">
        <v>5022</v>
      </c>
    </row>
    <row r="74" spans="1:83" s="3" customFormat="1" x14ac:dyDescent="0.2">
      <c r="A74" s="3" t="s">
        <v>3405</v>
      </c>
      <c r="B74" s="5" t="s">
        <v>4726</v>
      </c>
      <c r="C74" s="5">
        <v>12</v>
      </c>
      <c r="D74" s="5" t="s">
        <v>4732</v>
      </c>
      <c r="E74" s="3" t="s">
        <v>3414</v>
      </c>
      <c r="F74" s="3">
        <v>17303</v>
      </c>
      <c r="G74" s="14">
        <v>44747.633333333331</v>
      </c>
      <c r="H74" s="14">
        <v>45159.728472222225</v>
      </c>
      <c r="I74" s="3" t="s">
        <v>2986</v>
      </c>
      <c r="J74" s="3" t="s">
        <v>111</v>
      </c>
      <c r="K74" s="3" t="s">
        <v>111</v>
      </c>
      <c r="L74" s="3" t="s">
        <v>111</v>
      </c>
      <c r="M74" s="3" t="s">
        <v>112</v>
      </c>
      <c r="N74" s="3" t="s">
        <v>2165</v>
      </c>
      <c r="O74" s="3" t="s">
        <v>2166</v>
      </c>
      <c r="P74" s="3">
        <v>36</v>
      </c>
      <c r="Q74" s="3" t="s">
        <v>2167</v>
      </c>
      <c r="R74" s="3" t="s">
        <v>114</v>
      </c>
      <c r="S74" s="3" t="s">
        <v>115</v>
      </c>
      <c r="T74" s="3" t="s">
        <v>116</v>
      </c>
      <c r="U74" s="3" t="s">
        <v>117</v>
      </c>
      <c r="V74" s="3" t="s">
        <v>118</v>
      </c>
      <c r="W74" s="7" t="s">
        <v>3179</v>
      </c>
      <c r="X74" s="3" t="s">
        <v>1337</v>
      </c>
      <c r="Y74" s="7" t="s">
        <v>3180</v>
      </c>
      <c r="Z74" s="3" t="s">
        <v>3181</v>
      </c>
      <c r="AA74" s="3" t="s">
        <v>3182</v>
      </c>
      <c r="AB74" s="3" t="s">
        <v>3183</v>
      </c>
      <c r="AC74" s="3" t="s">
        <v>2786</v>
      </c>
      <c r="AD74" s="3" t="s">
        <v>3184</v>
      </c>
      <c r="AE74" s="3" t="s">
        <v>1850</v>
      </c>
      <c r="AF74" s="3" t="s">
        <v>893</v>
      </c>
      <c r="AG74" s="3" t="s">
        <v>2988</v>
      </c>
      <c r="AH74" s="3">
        <v>276.75720000000001</v>
      </c>
      <c r="AI74" s="3" t="s">
        <v>3185</v>
      </c>
      <c r="AJ74" s="3" t="s">
        <v>113</v>
      </c>
      <c r="AK74" s="3" t="s">
        <v>113</v>
      </c>
      <c r="AL74" s="3" t="s">
        <v>113</v>
      </c>
      <c r="AM74" s="3" t="s">
        <v>131</v>
      </c>
      <c r="AN74" s="3" t="s">
        <v>3405</v>
      </c>
      <c r="AO74" s="3" t="s">
        <v>3414</v>
      </c>
      <c r="AP74" s="7" t="s">
        <v>1398</v>
      </c>
      <c r="AQ74" s="7">
        <f t="shared" si="10"/>
        <v>0.69620000000000004</v>
      </c>
      <c r="AR74" s="3" t="s">
        <v>3186</v>
      </c>
      <c r="AS74" s="10" t="s">
        <v>2599</v>
      </c>
      <c r="AT74" s="11">
        <f t="shared" si="11"/>
        <v>0.22289999999999999</v>
      </c>
      <c r="AU74" s="3" t="s">
        <v>3187</v>
      </c>
      <c r="AV74" s="12"/>
      <c r="AW74" s="3" t="s">
        <v>3188</v>
      </c>
      <c r="AX74" s="3" t="s">
        <v>3189</v>
      </c>
      <c r="AY74" s="3" t="s">
        <v>2700</v>
      </c>
      <c r="AZ74" s="3" t="s">
        <v>3190</v>
      </c>
      <c r="BA74" s="3" t="s">
        <v>3191</v>
      </c>
      <c r="BB74" s="3" t="s">
        <v>3156</v>
      </c>
      <c r="BC74" s="3" t="s">
        <v>670</v>
      </c>
      <c r="BD74" s="3" t="s">
        <v>1601</v>
      </c>
      <c r="BE74" s="3" t="s">
        <v>3192</v>
      </c>
      <c r="BF74" s="3" t="s">
        <v>1604</v>
      </c>
      <c r="BG74" s="3" t="s">
        <v>3193</v>
      </c>
      <c r="BH74" s="3" t="s">
        <v>1237</v>
      </c>
      <c r="BI74" s="3" t="s">
        <v>3194</v>
      </c>
      <c r="BJ74" s="3" t="s">
        <v>3195</v>
      </c>
      <c r="BK74" s="3" t="s">
        <v>3196</v>
      </c>
      <c r="BL74" s="3" t="s">
        <v>3197</v>
      </c>
      <c r="BM74" s="3" t="s">
        <v>3198</v>
      </c>
      <c r="BN74" s="3" t="s">
        <v>152</v>
      </c>
      <c r="BO74" s="3" t="s">
        <v>152</v>
      </c>
      <c r="BP74" s="3" t="s">
        <v>152</v>
      </c>
      <c r="BQ74" s="3">
        <v>180</v>
      </c>
      <c r="BR74" s="3">
        <v>212</v>
      </c>
      <c r="BS74" s="3">
        <v>86</v>
      </c>
      <c r="BT74" s="3">
        <v>539</v>
      </c>
      <c r="BU74" s="3">
        <v>660</v>
      </c>
      <c r="BV74" s="3">
        <v>501</v>
      </c>
      <c r="BW74" s="3">
        <v>1126</v>
      </c>
      <c r="BX74" s="3" t="s">
        <v>153</v>
      </c>
      <c r="BY74" s="3" t="s">
        <v>153</v>
      </c>
      <c r="BZ74" s="3">
        <v>0</v>
      </c>
      <c r="CA74" s="3" t="s">
        <v>2990</v>
      </c>
      <c r="CB74" s="3" t="s">
        <v>111</v>
      </c>
      <c r="CC74" s="3" t="s">
        <v>2990</v>
      </c>
      <c r="CD74" s="3" t="s">
        <v>111</v>
      </c>
      <c r="CE74" s="3">
        <v>5022</v>
      </c>
    </row>
    <row r="75" spans="1:83" s="3" customFormat="1" x14ac:dyDescent="0.2">
      <c r="A75" s="3" t="s">
        <v>3406</v>
      </c>
      <c r="B75" s="5" t="s">
        <v>4726</v>
      </c>
      <c r="C75" s="5">
        <v>12</v>
      </c>
      <c r="D75" s="5" t="s">
        <v>4732</v>
      </c>
      <c r="E75" s="3" t="s">
        <v>3414</v>
      </c>
      <c r="F75" s="3">
        <v>17303</v>
      </c>
      <c r="G75" s="14">
        <v>44747.633333333331</v>
      </c>
      <c r="H75" s="14">
        <v>45159.730555555558</v>
      </c>
      <c r="I75" s="3" t="s">
        <v>2986</v>
      </c>
      <c r="J75" s="3" t="s">
        <v>111</v>
      </c>
      <c r="K75" s="3" t="s">
        <v>111</v>
      </c>
      <c r="L75" s="3" t="s">
        <v>111</v>
      </c>
      <c r="M75" s="3" t="s">
        <v>112</v>
      </c>
      <c r="N75" s="3" t="s">
        <v>2165</v>
      </c>
      <c r="O75" s="3" t="s">
        <v>2166</v>
      </c>
      <c r="P75" s="3">
        <v>36</v>
      </c>
      <c r="Q75" s="3" t="s">
        <v>2167</v>
      </c>
      <c r="R75" s="3" t="s">
        <v>114</v>
      </c>
      <c r="S75" s="3" t="s">
        <v>115</v>
      </c>
      <c r="T75" s="3" t="s">
        <v>116</v>
      </c>
      <c r="U75" s="3" t="s">
        <v>117</v>
      </c>
      <c r="V75" s="3" t="s">
        <v>118</v>
      </c>
      <c r="W75" s="7" t="s">
        <v>3199</v>
      </c>
      <c r="X75" s="3" t="s">
        <v>3200</v>
      </c>
      <c r="Y75" s="7" t="s">
        <v>3201</v>
      </c>
      <c r="Z75" s="3" t="s">
        <v>3202</v>
      </c>
      <c r="AA75" s="3" t="s">
        <v>3203</v>
      </c>
      <c r="AB75" s="3" t="s">
        <v>3204</v>
      </c>
      <c r="AC75" s="3" t="s">
        <v>3205</v>
      </c>
      <c r="AD75" s="3" t="s">
        <v>3206</v>
      </c>
      <c r="AE75" s="3" t="s">
        <v>1257</v>
      </c>
      <c r="AF75" s="3" t="s">
        <v>1538</v>
      </c>
      <c r="AG75" s="3" t="s">
        <v>3207</v>
      </c>
      <c r="AH75" s="3">
        <v>328.36500000000001</v>
      </c>
      <c r="AI75" s="3" t="s">
        <v>3208</v>
      </c>
      <c r="AJ75" s="3" t="s">
        <v>113</v>
      </c>
      <c r="AK75" s="3" t="s">
        <v>113</v>
      </c>
      <c r="AL75" s="3" t="s">
        <v>113</v>
      </c>
      <c r="AM75" s="3" t="s">
        <v>131</v>
      </c>
      <c r="AN75" s="3" t="s">
        <v>3406</v>
      </c>
      <c r="AO75" s="3" t="s">
        <v>3414</v>
      </c>
      <c r="AP75" s="7" t="s">
        <v>3209</v>
      </c>
      <c r="AQ75" s="7">
        <f t="shared" si="10"/>
        <v>0.44340000000000002</v>
      </c>
      <c r="AR75" s="3" t="s">
        <v>3210</v>
      </c>
      <c r="AS75" s="10" t="s">
        <v>2534</v>
      </c>
      <c r="AT75" s="11">
        <f t="shared" si="11"/>
        <v>0.28010000000000002</v>
      </c>
      <c r="AU75" s="3" t="s">
        <v>3211</v>
      </c>
      <c r="AV75" s="12"/>
      <c r="AW75" s="3" t="s">
        <v>3212</v>
      </c>
      <c r="AX75" s="3" t="s">
        <v>3213</v>
      </c>
      <c r="AY75" s="3" t="s">
        <v>1578</v>
      </c>
      <c r="AZ75" s="3" t="s">
        <v>1847</v>
      </c>
      <c r="BA75" s="3" t="s">
        <v>3214</v>
      </c>
      <c r="BB75" s="3" t="s">
        <v>3215</v>
      </c>
      <c r="BC75" s="3" t="s">
        <v>2987</v>
      </c>
      <c r="BD75" s="3" t="s">
        <v>3216</v>
      </c>
      <c r="BE75" s="3" t="s">
        <v>3217</v>
      </c>
      <c r="BF75" s="3" t="s">
        <v>3218</v>
      </c>
      <c r="BG75" s="3" t="s">
        <v>2682</v>
      </c>
      <c r="BH75" s="3" t="s">
        <v>3219</v>
      </c>
      <c r="BI75" s="3" t="s">
        <v>3220</v>
      </c>
      <c r="BJ75" s="3" t="s">
        <v>3221</v>
      </c>
      <c r="BK75" s="3" t="s">
        <v>3222</v>
      </c>
      <c r="BL75" s="3" t="s">
        <v>2009</v>
      </c>
      <c r="BM75" s="3" t="s">
        <v>3223</v>
      </c>
      <c r="BN75" s="3" t="s">
        <v>152</v>
      </c>
      <c r="BO75" s="3" t="s">
        <v>152</v>
      </c>
      <c r="BP75" s="3" t="s">
        <v>152</v>
      </c>
      <c r="BQ75" s="3">
        <v>204</v>
      </c>
      <c r="BR75" s="3">
        <v>160</v>
      </c>
      <c r="BS75" s="3">
        <v>66</v>
      </c>
      <c r="BT75" s="3">
        <v>499</v>
      </c>
      <c r="BU75" s="3">
        <v>301</v>
      </c>
      <c r="BV75" s="3">
        <v>211</v>
      </c>
      <c r="BW75" s="3">
        <v>1126</v>
      </c>
      <c r="BX75" s="3" t="s">
        <v>153</v>
      </c>
      <c r="BY75" s="3" t="s">
        <v>153</v>
      </c>
      <c r="BZ75" s="3">
        <v>0</v>
      </c>
      <c r="CA75" s="3" t="s">
        <v>2990</v>
      </c>
      <c r="CB75" s="3" t="s">
        <v>111</v>
      </c>
      <c r="CC75" s="3" t="s">
        <v>2990</v>
      </c>
      <c r="CD75" s="3" t="s">
        <v>111</v>
      </c>
      <c r="CE75" s="3">
        <v>5022</v>
      </c>
    </row>
    <row r="76" spans="1:83" s="3" customFormat="1" ht="16" x14ac:dyDescent="0.2">
      <c r="B76" s="4"/>
      <c r="C76" s="4"/>
      <c r="D76" s="5"/>
      <c r="W76" s="7"/>
      <c r="Y76" s="7"/>
      <c r="AP76" s="7"/>
      <c r="AQ76" s="7"/>
      <c r="AS76" s="10"/>
      <c r="AT76" s="11"/>
      <c r="AV76" s="12"/>
    </row>
    <row r="77" spans="1:83" s="3" customFormat="1" x14ac:dyDescent="0.2">
      <c r="A77" s="3" t="s">
        <v>3389</v>
      </c>
      <c r="B77" s="5" t="s">
        <v>4727</v>
      </c>
      <c r="C77" s="5">
        <v>10</v>
      </c>
      <c r="D77" s="5" t="s">
        <v>4733</v>
      </c>
      <c r="E77" s="3" t="s">
        <v>3414</v>
      </c>
      <c r="F77" s="3">
        <v>17301</v>
      </c>
      <c r="G77" s="14">
        <v>44747.459027777775</v>
      </c>
      <c r="H77" s="14">
        <v>45156.558333333334</v>
      </c>
      <c r="I77" s="3" t="s">
        <v>2164</v>
      </c>
      <c r="J77" s="3" t="s">
        <v>111</v>
      </c>
      <c r="K77" s="3" t="s">
        <v>111</v>
      </c>
      <c r="L77" s="3" t="s">
        <v>111</v>
      </c>
      <c r="M77" s="3" t="s">
        <v>112</v>
      </c>
      <c r="N77" s="3" t="s">
        <v>2165</v>
      </c>
      <c r="O77" s="3" t="s">
        <v>2166</v>
      </c>
      <c r="P77" s="3">
        <v>36</v>
      </c>
      <c r="Q77" s="3" t="s">
        <v>2167</v>
      </c>
      <c r="R77" s="3" t="s">
        <v>114</v>
      </c>
      <c r="S77" s="3" t="s">
        <v>115</v>
      </c>
      <c r="T77" s="3" t="s">
        <v>116</v>
      </c>
      <c r="U77" s="3" t="s">
        <v>117</v>
      </c>
      <c r="V77" s="3" t="s">
        <v>118</v>
      </c>
      <c r="W77" s="7" t="s">
        <v>2407</v>
      </c>
      <c r="X77" s="3" t="s">
        <v>1754</v>
      </c>
      <c r="Y77" s="7" t="s">
        <v>2058</v>
      </c>
      <c r="Z77" s="3" t="s">
        <v>2408</v>
      </c>
      <c r="AA77" s="3" t="s">
        <v>2409</v>
      </c>
      <c r="AB77" s="3" t="s">
        <v>2410</v>
      </c>
      <c r="AC77" s="3" t="s">
        <v>457</v>
      </c>
      <c r="AD77" s="3" t="s">
        <v>2411</v>
      </c>
      <c r="AE77" s="3" t="s">
        <v>2412</v>
      </c>
      <c r="AF77" s="3" t="s">
        <v>518</v>
      </c>
      <c r="AG77" s="3" t="s">
        <v>1550</v>
      </c>
      <c r="AH77" s="3">
        <v>264.54579999999999</v>
      </c>
      <c r="AI77" s="3" t="s">
        <v>2413</v>
      </c>
      <c r="AJ77" s="3" t="s">
        <v>113</v>
      </c>
      <c r="AK77" s="3" t="s">
        <v>113</v>
      </c>
      <c r="AL77" s="3" t="s">
        <v>113</v>
      </c>
      <c r="AM77" s="3" t="s">
        <v>131</v>
      </c>
      <c r="AN77" s="3" t="s">
        <v>3389</v>
      </c>
      <c r="AO77" s="3" t="s">
        <v>3414</v>
      </c>
      <c r="AP77" s="7" t="s">
        <v>2414</v>
      </c>
      <c r="AQ77" s="7">
        <f t="shared" ref="AQ77:AQ82" si="12">VALUE(AP77)</f>
        <v>0.86109999999999998</v>
      </c>
      <c r="AR77" s="3" t="s">
        <v>2009</v>
      </c>
      <c r="AS77" s="10" t="s">
        <v>2415</v>
      </c>
      <c r="AT77" s="11">
        <f t="shared" ref="AT77:AT82" si="13">VALUE(AS77)</f>
        <v>0.2044</v>
      </c>
      <c r="AU77" s="3" t="s">
        <v>2416</v>
      </c>
      <c r="AV77" s="12"/>
      <c r="AW77" s="3" t="s">
        <v>2417</v>
      </c>
      <c r="AX77" s="3" t="s">
        <v>2418</v>
      </c>
      <c r="AY77" s="3" t="s">
        <v>144</v>
      </c>
      <c r="AZ77" s="3" t="s">
        <v>1301</v>
      </c>
      <c r="BA77" s="3" t="s">
        <v>2419</v>
      </c>
      <c r="BB77" s="3" t="s">
        <v>2420</v>
      </c>
      <c r="BC77" s="3" t="s">
        <v>2421</v>
      </c>
      <c r="BD77" s="3" t="s">
        <v>2422</v>
      </c>
      <c r="BE77" s="3" t="s">
        <v>2423</v>
      </c>
      <c r="BF77" s="3" t="s">
        <v>2424</v>
      </c>
      <c r="BG77" s="3" t="s">
        <v>2425</v>
      </c>
      <c r="BH77" s="3" t="s">
        <v>2426</v>
      </c>
      <c r="BI77" s="3" t="s">
        <v>2427</v>
      </c>
      <c r="BJ77" s="3" t="s">
        <v>2428</v>
      </c>
      <c r="BK77" s="3" t="s">
        <v>1865</v>
      </c>
      <c r="BL77" s="3" t="s">
        <v>2429</v>
      </c>
      <c r="BM77" s="3" t="s">
        <v>2430</v>
      </c>
      <c r="BN77" s="3" t="s">
        <v>152</v>
      </c>
      <c r="BO77" s="3" t="s">
        <v>152</v>
      </c>
      <c r="BP77" s="3" t="s">
        <v>152</v>
      </c>
      <c r="BQ77" s="3">
        <v>232</v>
      </c>
      <c r="BR77" s="3">
        <v>232</v>
      </c>
      <c r="BS77" s="3">
        <v>77</v>
      </c>
      <c r="BT77" s="3">
        <v>103</v>
      </c>
      <c r="BU77" s="3">
        <v>598</v>
      </c>
      <c r="BV77" s="3">
        <v>181</v>
      </c>
      <c r="BW77" s="3">
        <v>1126</v>
      </c>
      <c r="BX77" s="3" t="s">
        <v>153</v>
      </c>
      <c r="BY77" s="3" t="s">
        <v>153</v>
      </c>
      <c r="BZ77" s="3">
        <v>0</v>
      </c>
      <c r="CA77" s="3" t="s">
        <v>2171</v>
      </c>
      <c r="CB77" s="3" t="s">
        <v>111</v>
      </c>
      <c r="CC77" s="3" t="s">
        <v>2171</v>
      </c>
      <c r="CD77" s="3" t="s">
        <v>111</v>
      </c>
      <c r="CE77" s="3">
        <v>5022</v>
      </c>
    </row>
    <row r="78" spans="1:83" s="3" customFormat="1" x14ac:dyDescent="0.2">
      <c r="A78" s="3" t="s">
        <v>3390</v>
      </c>
      <c r="B78" s="5" t="s">
        <v>4727</v>
      </c>
      <c r="C78" s="5">
        <v>10</v>
      </c>
      <c r="D78" s="5" t="s">
        <v>4733</v>
      </c>
      <c r="E78" s="3" t="s">
        <v>3414</v>
      </c>
      <c r="F78" s="3">
        <v>17301</v>
      </c>
      <c r="G78" s="14">
        <v>44747.459027777775</v>
      </c>
      <c r="H78" s="14">
        <v>45156.564583333333</v>
      </c>
      <c r="I78" s="3" t="s">
        <v>2164</v>
      </c>
      <c r="J78" s="3" t="s">
        <v>111</v>
      </c>
      <c r="K78" s="3" t="s">
        <v>111</v>
      </c>
      <c r="L78" s="3" t="s">
        <v>111</v>
      </c>
      <c r="M78" s="3" t="s">
        <v>112</v>
      </c>
      <c r="N78" s="3" t="s">
        <v>2165</v>
      </c>
      <c r="O78" s="3" t="s">
        <v>2166</v>
      </c>
      <c r="P78" s="3">
        <v>36</v>
      </c>
      <c r="Q78" s="3" t="s">
        <v>2167</v>
      </c>
      <c r="R78" s="3" t="s">
        <v>114</v>
      </c>
      <c r="S78" s="3" t="s">
        <v>115</v>
      </c>
      <c r="T78" s="3" t="s">
        <v>116</v>
      </c>
      <c r="U78" s="3" t="s">
        <v>117</v>
      </c>
      <c r="V78" s="3" t="s">
        <v>118</v>
      </c>
      <c r="W78" s="7" t="s">
        <v>2431</v>
      </c>
      <c r="X78" s="3" t="s">
        <v>2432</v>
      </c>
      <c r="Y78" s="7" t="s">
        <v>2433</v>
      </c>
      <c r="Z78" s="3" t="s">
        <v>2434</v>
      </c>
      <c r="AA78" s="3" t="s">
        <v>2435</v>
      </c>
      <c r="AB78" s="3" t="s">
        <v>2436</v>
      </c>
      <c r="AC78" s="3" t="s">
        <v>1977</v>
      </c>
      <c r="AD78" s="3" t="s">
        <v>2185</v>
      </c>
      <c r="AE78" s="3" t="s">
        <v>731</v>
      </c>
      <c r="AF78" s="3" t="s">
        <v>476</v>
      </c>
      <c r="AG78" s="3" t="s">
        <v>492</v>
      </c>
      <c r="AH78" s="3">
        <v>456.07600000000002</v>
      </c>
      <c r="AI78" s="3" t="s">
        <v>2437</v>
      </c>
      <c r="AJ78" s="3" t="s">
        <v>113</v>
      </c>
      <c r="AK78" s="3" t="s">
        <v>113</v>
      </c>
      <c r="AL78" s="3" t="s">
        <v>113</v>
      </c>
      <c r="AM78" s="3" t="s">
        <v>131</v>
      </c>
      <c r="AN78" s="3" t="s">
        <v>3390</v>
      </c>
      <c r="AO78" s="3" t="s">
        <v>3414</v>
      </c>
      <c r="AP78" s="7" t="s">
        <v>2438</v>
      </c>
      <c r="AQ78" s="7">
        <f t="shared" si="12"/>
        <v>0.58420000000000005</v>
      </c>
      <c r="AR78" s="3" t="s">
        <v>2439</v>
      </c>
      <c r="AS78" s="10" t="s">
        <v>2440</v>
      </c>
      <c r="AT78" s="11">
        <f t="shared" si="13"/>
        <v>0.42959999999999998</v>
      </c>
      <c r="AU78" s="3" t="s">
        <v>2441</v>
      </c>
      <c r="AV78" s="12"/>
      <c r="AW78" s="3" t="s">
        <v>2442</v>
      </c>
      <c r="AX78" s="3" t="s">
        <v>2443</v>
      </c>
      <c r="AY78" s="3" t="s">
        <v>2444</v>
      </c>
      <c r="AZ78" s="3" t="s">
        <v>1318</v>
      </c>
      <c r="BA78" s="3" t="s">
        <v>2445</v>
      </c>
      <c r="BB78" s="3" t="s">
        <v>228</v>
      </c>
      <c r="BC78" s="3" t="s">
        <v>2266</v>
      </c>
      <c r="BD78" s="3" t="s">
        <v>2446</v>
      </c>
      <c r="BE78" s="3" t="s">
        <v>2447</v>
      </c>
      <c r="BF78" s="3" t="s">
        <v>2448</v>
      </c>
      <c r="BG78" s="3" t="s">
        <v>221</v>
      </c>
      <c r="BH78" s="3" t="s">
        <v>2400</v>
      </c>
      <c r="BI78" s="3" t="s">
        <v>2449</v>
      </c>
      <c r="BJ78" s="3" t="s">
        <v>2450</v>
      </c>
      <c r="BK78" s="3" t="s">
        <v>2451</v>
      </c>
      <c r="BL78" s="3" t="s">
        <v>2175</v>
      </c>
      <c r="BM78" s="3" t="s">
        <v>2452</v>
      </c>
      <c r="BN78" s="3" t="s">
        <v>152</v>
      </c>
      <c r="BO78" s="3" t="s">
        <v>152</v>
      </c>
      <c r="BP78" s="3" t="s">
        <v>152</v>
      </c>
      <c r="BQ78" s="3">
        <v>184</v>
      </c>
      <c r="BR78" s="3">
        <v>200</v>
      </c>
      <c r="BS78" s="3">
        <v>75</v>
      </c>
      <c r="BT78" s="3">
        <v>548</v>
      </c>
      <c r="BU78" s="3">
        <v>300</v>
      </c>
      <c r="BV78" s="3">
        <v>625</v>
      </c>
      <c r="BW78" s="3">
        <v>1126</v>
      </c>
      <c r="BX78" s="3" t="s">
        <v>153</v>
      </c>
      <c r="BY78" s="3" t="s">
        <v>153</v>
      </c>
      <c r="BZ78" s="3">
        <v>0</v>
      </c>
      <c r="CA78" s="3" t="s">
        <v>2171</v>
      </c>
      <c r="CB78" s="3" t="s">
        <v>111</v>
      </c>
      <c r="CC78" s="3" t="s">
        <v>2171</v>
      </c>
      <c r="CD78" s="3" t="s">
        <v>111</v>
      </c>
      <c r="CE78" s="3">
        <v>5022</v>
      </c>
    </row>
    <row r="79" spans="1:83" s="3" customFormat="1" x14ac:dyDescent="0.2">
      <c r="A79" s="3" t="s">
        <v>3391</v>
      </c>
      <c r="B79" s="5" t="s">
        <v>4727</v>
      </c>
      <c r="C79" s="5">
        <v>12</v>
      </c>
      <c r="D79" s="5" t="s">
        <v>4733</v>
      </c>
      <c r="E79" s="3" t="s">
        <v>3414</v>
      </c>
      <c r="F79" s="3">
        <v>17301</v>
      </c>
      <c r="G79" s="14">
        <v>44747.459027777775</v>
      </c>
      <c r="H79" s="14">
        <v>45156.568749999999</v>
      </c>
      <c r="I79" s="3" t="s">
        <v>2164</v>
      </c>
      <c r="J79" s="3" t="s">
        <v>111</v>
      </c>
      <c r="K79" s="3" t="s">
        <v>111</v>
      </c>
      <c r="L79" s="3" t="s">
        <v>111</v>
      </c>
      <c r="M79" s="3" t="s">
        <v>112</v>
      </c>
      <c r="N79" s="3" t="s">
        <v>2165</v>
      </c>
      <c r="O79" s="3" t="s">
        <v>2166</v>
      </c>
      <c r="P79" s="3">
        <v>36</v>
      </c>
      <c r="Q79" s="3" t="s">
        <v>2167</v>
      </c>
      <c r="R79" s="3" t="s">
        <v>114</v>
      </c>
      <c r="S79" s="3" t="s">
        <v>115</v>
      </c>
      <c r="T79" s="3" t="s">
        <v>116</v>
      </c>
      <c r="U79" s="3" t="s">
        <v>117</v>
      </c>
      <c r="V79" s="3" t="s">
        <v>118</v>
      </c>
      <c r="W79" s="7" t="s">
        <v>2453</v>
      </c>
      <c r="X79" s="3" t="s">
        <v>2454</v>
      </c>
      <c r="Y79" s="7" t="s">
        <v>2455</v>
      </c>
      <c r="Z79" s="3" t="s">
        <v>2456</v>
      </c>
      <c r="AA79" s="3" t="s">
        <v>2457</v>
      </c>
      <c r="AB79" s="3" t="s">
        <v>2458</v>
      </c>
      <c r="AC79" s="3" t="s">
        <v>2459</v>
      </c>
      <c r="AD79" s="3" t="s">
        <v>2460</v>
      </c>
      <c r="AE79" s="3" t="s">
        <v>1265</v>
      </c>
      <c r="AF79" s="3" t="s">
        <v>128</v>
      </c>
      <c r="AG79" s="3" t="s">
        <v>2461</v>
      </c>
      <c r="AH79" s="3">
        <v>414.06299999999999</v>
      </c>
      <c r="AI79" s="3" t="s">
        <v>2462</v>
      </c>
      <c r="AJ79" s="3" t="s">
        <v>113</v>
      </c>
      <c r="AK79" s="3" t="s">
        <v>113</v>
      </c>
      <c r="AL79" s="3" t="s">
        <v>113</v>
      </c>
      <c r="AM79" s="3" t="s">
        <v>131</v>
      </c>
      <c r="AN79" s="3" t="s">
        <v>3391</v>
      </c>
      <c r="AO79" s="3" t="s">
        <v>3414</v>
      </c>
      <c r="AP79" s="7" t="s">
        <v>2463</v>
      </c>
      <c r="AQ79" s="7">
        <f t="shared" si="12"/>
        <v>0.64370000000000005</v>
      </c>
      <c r="AR79" s="3" t="s">
        <v>2464</v>
      </c>
      <c r="AS79" s="10" t="s">
        <v>2465</v>
      </c>
      <c r="AT79" s="11">
        <f t="shared" si="13"/>
        <v>0.37359999999999999</v>
      </c>
      <c r="AU79" s="3" t="s">
        <v>2466</v>
      </c>
      <c r="AV79" s="12"/>
      <c r="AW79" s="3" t="s">
        <v>2467</v>
      </c>
      <c r="AX79" s="3" t="s">
        <v>2468</v>
      </c>
      <c r="AY79" s="3" t="s">
        <v>2180</v>
      </c>
      <c r="AZ79" s="3" t="s">
        <v>2469</v>
      </c>
      <c r="BA79" s="3" t="s">
        <v>2470</v>
      </c>
      <c r="BB79" s="3" t="s">
        <v>2471</v>
      </c>
      <c r="BC79" s="3" t="s">
        <v>2181</v>
      </c>
      <c r="BD79" s="3" t="s">
        <v>2472</v>
      </c>
      <c r="BE79" s="3" t="s">
        <v>2137</v>
      </c>
      <c r="BF79" s="3" t="s">
        <v>2473</v>
      </c>
      <c r="BG79" s="3" t="s">
        <v>2474</v>
      </c>
      <c r="BH79" s="3" t="s">
        <v>2475</v>
      </c>
      <c r="BI79" s="3" t="s">
        <v>1509</v>
      </c>
      <c r="BJ79" s="3" t="s">
        <v>2476</v>
      </c>
      <c r="BK79" s="3" t="s">
        <v>2477</v>
      </c>
      <c r="BL79" s="3" t="s">
        <v>1507</v>
      </c>
      <c r="BM79" s="3" t="s">
        <v>2050</v>
      </c>
      <c r="BN79" s="3" t="s">
        <v>152</v>
      </c>
      <c r="BO79" s="3" t="s">
        <v>152</v>
      </c>
      <c r="BP79" s="3" t="s">
        <v>152</v>
      </c>
      <c r="BQ79" s="3">
        <v>200</v>
      </c>
      <c r="BR79" s="3">
        <v>164</v>
      </c>
      <c r="BS79" s="3">
        <v>88</v>
      </c>
      <c r="BT79" s="3">
        <v>1083</v>
      </c>
      <c r="BU79" s="3">
        <v>213</v>
      </c>
      <c r="BV79" s="3">
        <v>852</v>
      </c>
      <c r="BW79" s="3">
        <v>1126</v>
      </c>
      <c r="BX79" s="3" t="s">
        <v>153</v>
      </c>
      <c r="BY79" s="3" t="s">
        <v>153</v>
      </c>
      <c r="BZ79" s="3">
        <v>0</v>
      </c>
      <c r="CA79" s="3" t="s">
        <v>2171</v>
      </c>
      <c r="CB79" s="3" t="s">
        <v>111</v>
      </c>
      <c r="CC79" s="3" t="s">
        <v>2171</v>
      </c>
      <c r="CD79" s="3" t="s">
        <v>111</v>
      </c>
      <c r="CE79" s="3">
        <v>5022</v>
      </c>
    </row>
    <row r="80" spans="1:83" s="3" customFormat="1" x14ac:dyDescent="0.2">
      <c r="A80" s="3" t="s">
        <v>3392</v>
      </c>
      <c r="B80" s="5" t="s">
        <v>4726</v>
      </c>
      <c r="C80" s="5">
        <v>12</v>
      </c>
      <c r="D80" s="5" t="s">
        <v>4733</v>
      </c>
      <c r="E80" s="3" t="s">
        <v>3414</v>
      </c>
      <c r="F80" s="3">
        <v>17301</v>
      </c>
      <c r="G80" s="14">
        <v>44747.459027777775</v>
      </c>
      <c r="H80" s="14">
        <v>45156.571527777778</v>
      </c>
      <c r="I80" s="3" t="s">
        <v>2164</v>
      </c>
      <c r="J80" s="3" t="s">
        <v>111</v>
      </c>
      <c r="K80" s="3" t="s">
        <v>111</v>
      </c>
      <c r="L80" s="3" t="s">
        <v>111</v>
      </c>
      <c r="M80" s="3" t="s">
        <v>112</v>
      </c>
      <c r="N80" s="3" t="s">
        <v>2165</v>
      </c>
      <c r="O80" s="3" t="s">
        <v>2166</v>
      </c>
      <c r="P80" s="3">
        <v>36</v>
      </c>
      <c r="Q80" s="3" t="s">
        <v>2167</v>
      </c>
      <c r="R80" s="3" t="s">
        <v>114</v>
      </c>
      <c r="S80" s="3" t="s">
        <v>115</v>
      </c>
      <c r="T80" s="3" t="s">
        <v>116</v>
      </c>
      <c r="U80" s="3" t="s">
        <v>117</v>
      </c>
      <c r="V80" s="3" t="s">
        <v>118</v>
      </c>
      <c r="W80" s="7" t="s">
        <v>2478</v>
      </c>
      <c r="X80" s="3" t="s">
        <v>2479</v>
      </c>
      <c r="Y80" s="7" t="s">
        <v>2480</v>
      </c>
      <c r="Z80" s="3" t="s">
        <v>2481</v>
      </c>
      <c r="AA80" s="3" t="s">
        <v>2482</v>
      </c>
      <c r="AB80" s="3" t="s">
        <v>2483</v>
      </c>
      <c r="AC80" s="3" t="s">
        <v>2484</v>
      </c>
      <c r="AD80" s="3" t="s">
        <v>2485</v>
      </c>
      <c r="AE80" s="3" t="s">
        <v>2486</v>
      </c>
      <c r="AF80" s="3" t="s">
        <v>1394</v>
      </c>
      <c r="AG80" s="3" t="s">
        <v>2487</v>
      </c>
      <c r="AH80" s="3">
        <v>265.4907</v>
      </c>
      <c r="AI80" s="3" t="s">
        <v>2488</v>
      </c>
      <c r="AJ80" s="3" t="s">
        <v>113</v>
      </c>
      <c r="AK80" s="3" t="s">
        <v>113</v>
      </c>
      <c r="AL80" s="3" t="s">
        <v>113</v>
      </c>
      <c r="AM80" s="3" t="s">
        <v>131</v>
      </c>
      <c r="AN80" s="3" t="s">
        <v>3392</v>
      </c>
      <c r="AO80" s="3" t="s">
        <v>3414</v>
      </c>
      <c r="AP80" s="7" t="s">
        <v>2489</v>
      </c>
      <c r="AQ80" s="7">
        <f t="shared" si="12"/>
        <v>0.62170000000000003</v>
      </c>
      <c r="AR80" s="3" t="s">
        <v>1594</v>
      </c>
      <c r="AS80" s="10" t="s">
        <v>2490</v>
      </c>
      <c r="AT80" s="11">
        <f t="shared" si="13"/>
        <v>0.19800000000000001</v>
      </c>
      <c r="AU80" s="3" t="s">
        <v>2491</v>
      </c>
      <c r="AV80" s="12"/>
      <c r="AW80" s="3" t="s">
        <v>2492</v>
      </c>
      <c r="AX80" s="3" t="s">
        <v>2493</v>
      </c>
      <c r="AY80" s="3" t="s">
        <v>2339</v>
      </c>
      <c r="AZ80" s="3" t="s">
        <v>2415</v>
      </c>
      <c r="BA80" s="3" t="s">
        <v>2494</v>
      </c>
      <c r="BB80" s="3" t="s">
        <v>2495</v>
      </c>
      <c r="BC80" s="3" t="s">
        <v>2496</v>
      </c>
      <c r="BD80" s="3" t="s">
        <v>2255</v>
      </c>
      <c r="BE80" s="3" t="s">
        <v>2497</v>
      </c>
      <c r="BF80" s="3" t="s">
        <v>1991</v>
      </c>
      <c r="BG80" s="3" t="s">
        <v>2498</v>
      </c>
      <c r="BH80" s="3" t="s">
        <v>2499</v>
      </c>
      <c r="BI80" s="3" t="s">
        <v>2500</v>
      </c>
      <c r="BJ80" s="3" t="s">
        <v>2501</v>
      </c>
      <c r="BK80" s="3" t="s">
        <v>2502</v>
      </c>
      <c r="BL80" s="3" t="s">
        <v>2503</v>
      </c>
      <c r="BM80" s="3" t="s">
        <v>2504</v>
      </c>
      <c r="BN80" s="3" t="s">
        <v>152</v>
      </c>
      <c r="BO80" s="3" t="s">
        <v>152</v>
      </c>
      <c r="BP80" s="3" t="s">
        <v>152</v>
      </c>
      <c r="BQ80" s="3">
        <v>168</v>
      </c>
      <c r="BR80" s="3">
        <v>196</v>
      </c>
      <c r="BS80" s="3">
        <v>85</v>
      </c>
      <c r="BT80" s="3">
        <v>1406</v>
      </c>
      <c r="BU80" s="3">
        <v>463</v>
      </c>
      <c r="BV80" s="3">
        <v>545</v>
      </c>
      <c r="BW80" s="3">
        <v>1126</v>
      </c>
      <c r="BX80" s="3" t="s">
        <v>153</v>
      </c>
      <c r="BY80" s="3" t="s">
        <v>153</v>
      </c>
      <c r="BZ80" s="3">
        <v>0</v>
      </c>
      <c r="CA80" s="3" t="s">
        <v>2171</v>
      </c>
      <c r="CB80" s="3" t="s">
        <v>111</v>
      </c>
      <c r="CC80" s="3" t="s">
        <v>2171</v>
      </c>
      <c r="CD80" s="3" t="s">
        <v>111</v>
      </c>
      <c r="CE80" s="3">
        <v>5022</v>
      </c>
    </row>
    <row r="81" spans="1:83" s="3" customFormat="1" x14ac:dyDescent="0.2">
      <c r="A81" s="3" t="s">
        <v>3393</v>
      </c>
      <c r="B81" s="5" t="s">
        <v>4726</v>
      </c>
      <c r="C81" s="5">
        <v>12</v>
      </c>
      <c r="D81" s="5" t="s">
        <v>4733</v>
      </c>
      <c r="E81" s="3" t="s">
        <v>3414</v>
      </c>
      <c r="F81" s="3">
        <v>17301</v>
      </c>
      <c r="G81" s="14">
        <v>44747.459027777775</v>
      </c>
      <c r="H81" s="14">
        <v>45156.575694444444</v>
      </c>
      <c r="I81" s="3" t="s">
        <v>2164</v>
      </c>
      <c r="J81" s="3" t="s">
        <v>111</v>
      </c>
      <c r="K81" s="3" t="s">
        <v>111</v>
      </c>
      <c r="L81" s="3" t="s">
        <v>111</v>
      </c>
      <c r="M81" s="3" t="s">
        <v>112</v>
      </c>
      <c r="N81" s="3" t="s">
        <v>2165</v>
      </c>
      <c r="O81" s="3" t="s">
        <v>2166</v>
      </c>
      <c r="P81" s="3">
        <v>36</v>
      </c>
      <c r="Q81" s="3" t="s">
        <v>2167</v>
      </c>
      <c r="R81" s="3" t="s">
        <v>114</v>
      </c>
      <c r="S81" s="3" t="s">
        <v>115</v>
      </c>
      <c r="T81" s="3" t="s">
        <v>116</v>
      </c>
      <c r="U81" s="3" t="s">
        <v>117</v>
      </c>
      <c r="V81" s="3" t="s">
        <v>118</v>
      </c>
      <c r="W81" s="7" t="s">
        <v>2505</v>
      </c>
      <c r="X81" s="3" t="s">
        <v>168</v>
      </c>
      <c r="Y81" s="7" t="s">
        <v>2506</v>
      </c>
      <c r="Z81" s="3" t="s">
        <v>2507</v>
      </c>
      <c r="AA81" s="3" t="s">
        <v>2508</v>
      </c>
      <c r="AB81" s="3" t="s">
        <v>2509</v>
      </c>
      <c r="AC81" s="3" t="s">
        <v>2510</v>
      </c>
      <c r="AD81" s="3" t="s">
        <v>2511</v>
      </c>
      <c r="AE81" s="3" t="s">
        <v>690</v>
      </c>
      <c r="AF81" s="3" t="s">
        <v>493</v>
      </c>
      <c r="AG81" s="3" t="s">
        <v>2512</v>
      </c>
      <c r="AH81" s="3">
        <v>343.26580000000001</v>
      </c>
      <c r="AI81" s="3" t="s">
        <v>2513</v>
      </c>
      <c r="AJ81" s="3" t="s">
        <v>113</v>
      </c>
      <c r="AK81" s="3" t="s">
        <v>113</v>
      </c>
      <c r="AL81" s="3" t="s">
        <v>113</v>
      </c>
      <c r="AM81" s="3" t="s">
        <v>131</v>
      </c>
      <c r="AN81" s="3" t="s">
        <v>3393</v>
      </c>
      <c r="AO81" s="3" t="s">
        <v>3414</v>
      </c>
      <c r="AP81" s="7" t="s">
        <v>2514</v>
      </c>
      <c r="AQ81" s="7">
        <f t="shared" si="12"/>
        <v>0.64439999999999997</v>
      </c>
      <c r="AR81" s="3" t="s">
        <v>1906</v>
      </c>
      <c r="AS81" s="10" t="s">
        <v>2515</v>
      </c>
      <c r="AT81" s="11">
        <f t="shared" si="13"/>
        <v>0.28399999999999997</v>
      </c>
      <c r="AU81" s="3" t="s">
        <v>2516</v>
      </c>
      <c r="AV81" s="12"/>
      <c r="AW81" s="3" t="s">
        <v>2517</v>
      </c>
      <c r="AX81" s="3" t="s">
        <v>2518</v>
      </c>
      <c r="AY81" s="3" t="s">
        <v>912</v>
      </c>
      <c r="AZ81" s="3" t="s">
        <v>2519</v>
      </c>
      <c r="BA81" s="3" t="s">
        <v>2520</v>
      </c>
      <c r="BB81" s="3" t="s">
        <v>1894</v>
      </c>
      <c r="BC81" s="3" t="s">
        <v>2521</v>
      </c>
      <c r="BD81" s="3" t="s">
        <v>2522</v>
      </c>
      <c r="BE81" s="3" t="s">
        <v>2523</v>
      </c>
      <c r="BF81" s="3" t="s">
        <v>408</v>
      </c>
      <c r="BG81" s="3" t="s">
        <v>1677</v>
      </c>
      <c r="BH81" s="3" t="s">
        <v>1733</v>
      </c>
      <c r="BI81" s="3" t="s">
        <v>2524</v>
      </c>
      <c r="BJ81" s="3" t="s">
        <v>1073</v>
      </c>
      <c r="BK81" s="3" t="s">
        <v>2525</v>
      </c>
      <c r="BL81" s="3" t="s">
        <v>2526</v>
      </c>
      <c r="BM81" s="3" t="s">
        <v>2527</v>
      </c>
      <c r="BN81" s="3" t="s">
        <v>152</v>
      </c>
      <c r="BO81" s="3" t="s">
        <v>152</v>
      </c>
      <c r="BP81" s="3" t="s">
        <v>152</v>
      </c>
      <c r="BQ81" s="3">
        <v>176</v>
      </c>
      <c r="BR81" s="3">
        <v>172</v>
      </c>
      <c r="BS81" s="3">
        <v>86</v>
      </c>
      <c r="BT81" s="3">
        <v>1501</v>
      </c>
      <c r="BU81" s="3">
        <v>1106</v>
      </c>
      <c r="BV81" s="3">
        <v>411</v>
      </c>
      <c r="BW81" s="3">
        <v>1126</v>
      </c>
      <c r="BX81" s="3" t="s">
        <v>153</v>
      </c>
      <c r="BY81" s="3" t="s">
        <v>153</v>
      </c>
      <c r="BZ81" s="3">
        <v>0</v>
      </c>
      <c r="CA81" s="3" t="s">
        <v>2171</v>
      </c>
      <c r="CB81" s="3" t="s">
        <v>111</v>
      </c>
      <c r="CC81" s="3" t="s">
        <v>2171</v>
      </c>
      <c r="CD81" s="3" t="s">
        <v>111</v>
      </c>
      <c r="CE81" s="3">
        <v>5022</v>
      </c>
    </row>
    <row r="82" spans="1:83" s="3" customFormat="1" x14ac:dyDescent="0.2">
      <c r="A82" s="3" t="s">
        <v>3394</v>
      </c>
      <c r="B82" s="5" t="s">
        <v>4726</v>
      </c>
      <c r="C82" s="5">
        <v>12</v>
      </c>
      <c r="D82" s="5" t="s">
        <v>4733</v>
      </c>
      <c r="E82" s="3" t="s">
        <v>3414</v>
      </c>
      <c r="F82" s="3">
        <v>17301</v>
      </c>
      <c r="G82" s="14">
        <v>44747.459027777775</v>
      </c>
      <c r="H82" s="14">
        <v>45156.588888888888</v>
      </c>
      <c r="I82" s="3" t="s">
        <v>2164</v>
      </c>
      <c r="J82" s="3" t="s">
        <v>111</v>
      </c>
      <c r="K82" s="3" t="s">
        <v>111</v>
      </c>
      <c r="L82" s="3" t="s">
        <v>111</v>
      </c>
      <c r="M82" s="3" t="s">
        <v>112</v>
      </c>
      <c r="N82" s="3" t="s">
        <v>2165</v>
      </c>
      <c r="O82" s="3" t="s">
        <v>2166</v>
      </c>
      <c r="P82" s="3">
        <v>36</v>
      </c>
      <c r="Q82" s="3" t="s">
        <v>2167</v>
      </c>
      <c r="R82" s="3" t="s">
        <v>114</v>
      </c>
      <c r="S82" s="3" t="s">
        <v>115</v>
      </c>
      <c r="T82" s="3" t="s">
        <v>116</v>
      </c>
      <c r="U82" s="3" t="s">
        <v>117</v>
      </c>
      <c r="V82" s="3" t="s">
        <v>118</v>
      </c>
      <c r="W82" s="7" t="s">
        <v>2528</v>
      </c>
      <c r="X82" s="3" t="s">
        <v>2529</v>
      </c>
      <c r="Y82" s="7" t="s">
        <v>2530</v>
      </c>
      <c r="Z82" s="3" t="s">
        <v>2531</v>
      </c>
      <c r="AA82" s="3" t="s">
        <v>539</v>
      </c>
      <c r="AB82" s="3" t="s">
        <v>2532</v>
      </c>
      <c r="AC82" s="3" t="s">
        <v>2533</v>
      </c>
      <c r="AD82" s="3" t="s">
        <v>2534</v>
      </c>
      <c r="AE82" s="3" t="s">
        <v>652</v>
      </c>
      <c r="AF82" s="3" t="s">
        <v>2429</v>
      </c>
      <c r="AG82" s="3" t="s">
        <v>2535</v>
      </c>
      <c r="AH82" s="3">
        <v>329.52800000000002</v>
      </c>
      <c r="AI82" s="3" t="s">
        <v>2536</v>
      </c>
      <c r="AJ82" s="3" t="s">
        <v>113</v>
      </c>
      <c r="AK82" s="3" t="s">
        <v>113</v>
      </c>
      <c r="AL82" s="3" t="s">
        <v>113</v>
      </c>
      <c r="AM82" s="3" t="s">
        <v>131</v>
      </c>
      <c r="AN82" s="3" t="s">
        <v>3394</v>
      </c>
      <c r="AO82" s="3" t="s">
        <v>3414</v>
      </c>
      <c r="AP82" s="7" t="s">
        <v>2537</v>
      </c>
      <c r="AQ82" s="7">
        <f t="shared" si="12"/>
        <v>0.50319999999999998</v>
      </c>
      <c r="AR82" s="3" t="s">
        <v>918</v>
      </c>
      <c r="AS82" s="10" t="s">
        <v>2538</v>
      </c>
      <c r="AT82" s="11">
        <f t="shared" si="13"/>
        <v>0.26850000000000002</v>
      </c>
      <c r="AU82" s="3" t="s">
        <v>2539</v>
      </c>
      <c r="AV82" s="12"/>
      <c r="AW82" s="3" t="s">
        <v>2540</v>
      </c>
      <c r="AX82" s="3" t="s">
        <v>2541</v>
      </c>
      <c r="AY82" s="3" t="s">
        <v>974</v>
      </c>
      <c r="AZ82" s="3" t="s">
        <v>2542</v>
      </c>
      <c r="BA82" s="3" t="s">
        <v>2543</v>
      </c>
      <c r="BB82" s="3" t="s">
        <v>403</v>
      </c>
      <c r="BC82" s="3" t="s">
        <v>1163</v>
      </c>
      <c r="BD82" s="3" t="s">
        <v>2169</v>
      </c>
      <c r="BE82" s="3" t="s">
        <v>1593</v>
      </c>
      <c r="BF82" s="3" t="s">
        <v>2544</v>
      </c>
      <c r="BG82" s="3" t="s">
        <v>2545</v>
      </c>
      <c r="BH82" s="3" t="s">
        <v>2546</v>
      </c>
      <c r="BI82" s="3" t="s">
        <v>2547</v>
      </c>
      <c r="BJ82" s="3" t="s">
        <v>446</v>
      </c>
      <c r="BK82" s="3" t="s">
        <v>2548</v>
      </c>
      <c r="BL82" s="3" t="s">
        <v>408</v>
      </c>
      <c r="BM82" s="3" t="s">
        <v>2549</v>
      </c>
      <c r="BN82" s="3" t="s">
        <v>152</v>
      </c>
      <c r="BO82" s="3" t="s">
        <v>152</v>
      </c>
      <c r="BP82" s="3" t="s">
        <v>152</v>
      </c>
      <c r="BQ82" s="3">
        <v>148</v>
      </c>
      <c r="BR82" s="3">
        <v>208</v>
      </c>
      <c r="BS82" s="3">
        <v>63</v>
      </c>
      <c r="BT82" s="3">
        <v>1059</v>
      </c>
      <c r="BU82" s="3">
        <v>1540</v>
      </c>
      <c r="BV82" s="3">
        <v>487</v>
      </c>
      <c r="BW82" s="3">
        <v>1126</v>
      </c>
      <c r="BX82" s="3" t="s">
        <v>153</v>
      </c>
      <c r="BY82" s="3" t="s">
        <v>153</v>
      </c>
      <c r="BZ82" s="3">
        <v>0</v>
      </c>
      <c r="CA82" s="3" t="s">
        <v>2171</v>
      </c>
      <c r="CB82" s="3" t="s">
        <v>111</v>
      </c>
      <c r="CC82" s="3" t="s">
        <v>2171</v>
      </c>
      <c r="CD82" s="3" t="s">
        <v>111</v>
      </c>
      <c r="CE82" s="3">
        <v>5022</v>
      </c>
    </row>
    <row r="83" spans="1:83" s="3" customFormat="1" x14ac:dyDescent="0.2">
      <c r="D83" s="5"/>
      <c r="W83" s="7"/>
      <c r="Y83" s="7"/>
      <c r="AP83" s="7"/>
      <c r="AQ83" s="7"/>
      <c r="AS83" s="10"/>
      <c r="AT83" s="11"/>
      <c r="AV83" s="12"/>
    </row>
    <row r="84" spans="1:83" s="3" customFormat="1" x14ac:dyDescent="0.2">
      <c r="D84" s="5"/>
      <c r="W84" s="7"/>
      <c r="Y84" s="7"/>
      <c r="AP84" s="7"/>
      <c r="AQ84" s="7"/>
      <c r="AS84" s="10"/>
      <c r="AT84" s="11"/>
      <c r="AV84" s="12"/>
    </row>
    <row r="85" spans="1:83" s="3" customFormat="1" ht="16" x14ac:dyDescent="0.2">
      <c r="A85" s="3" t="s">
        <v>3355</v>
      </c>
      <c r="B85" s="4" t="s">
        <v>4726</v>
      </c>
      <c r="C85" s="4">
        <v>12</v>
      </c>
      <c r="D85" s="5" t="s">
        <v>4734</v>
      </c>
      <c r="E85" s="3" t="s">
        <v>3414</v>
      </c>
      <c r="F85" s="3">
        <v>18033</v>
      </c>
      <c r="G85" s="14">
        <v>45155.804861111108</v>
      </c>
      <c r="H85" s="14">
        <v>45161.835416666669</v>
      </c>
      <c r="I85" s="3" t="s">
        <v>110</v>
      </c>
      <c r="J85" s="3" t="s">
        <v>111</v>
      </c>
      <c r="K85" s="3" t="s">
        <v>111</v>
      </c>
      <c r="L85" s="3" t="s">
        <v>111</v>
      </c>
      <c r="M85" s="3" t="s">
        <v>112</v>
      </c>
      <c r="N85" s="3" t="s">
        <v>113</v>
      </c>
      <c r="O85" s="3" t="s">
        <v>113</v>
      </c>
      <c r="P85" s="3">
        <v>0</v>
      </c>
      <c r="Q85" s="3" t="s">
        <v>113</v>
      </c>
      <c r="R85" s="3" t="s">
        <v>114</v>
      </c>
      <c r="S85" s="3" t="s">
        <v>115</v>
      </c>
      <c r="T85" s="3" t="s">
        <v>116</v>
      </c>
      <c r="U85" s="3" t="s">
        <v>117</v>
      </c>
      <c r="V85" s="3" t="s">
        <v>118</v>
      </c>
      <c r="W85" s="7" t="s">
        <v>155</v>
      </c>
      <c r="X85" s="3" t="s">
        <v>156</v>
      </c>
      <c r="Y85" s="7" t="s">
        <v>157</v>
      </c>
      <c r="Z85" s="3" t="s">
        <v>158</v>
      </c>
      <c r="AA85" s="3" t="s">
        <v>159</v>
      </c>
      <c r="AB85" s="3" t="s">
        <v>160</v>
      </c>
      <c r="AC85" s="3" t="s">
        <v>161</v>
      </c>
      <c r="AD85" s="3" t="s">
        <v>162</v>
      </c>
      <c r="AE85" s="3" t="s">
        <v>163</v>
      </c>
      <c r="AF85" s="3" t="s">
        <v>164</v>
      </c>
      <c r="AG85" s="3" t="s">
        <v>165</v>
      </c>
      <c r="AH85" s="3">
        <v>327.85610000000003</v>
      </c>
      <c r="AI85" s="3" t="s">
        <v>166</v>
      </c>
      <c r="AJ85" s="3" t="s">
        <v>113</v>
      </c>
      <c r="AK85" s="3" t="s">
        <v>113</v>
      </c>
      <c r="AL85" s="3" t="s">
        <v>113</v>
      </c>
      <c r="AM85" s="3" t="s">
        <v>131</v>
      </c>
      <c r="AN85" s="3" t="s">
        <v>3355</v>
      </c>
      <c r="AO85" s="3" t="s">
        <v>3414</v>
      </c>
      <c r="AP85" s="7" t="s">
        <v>167</v>
      </c>
      <c r="AQ85" s="7">
        <f t="shared" ref="AQ85:AQ91" si="14">VALUE(AP85)</f>
        <v>0.71060000000000001</v>
      </c>
      <c r="AR85" s="3" t="s">
        <v>168</v>
      </c>
      <c r="AS85" s="10">
        <v>0.26629999999999998</v>
      </c>
      <c r="AT85" s="11">
        <f t="shared" ref="AT85:AT91" si="15">VALUE(AS85)</f>
        <v>0.26629999999999998</v>
      </c>
      <c r="AU85" s="3" t="s">
        <v>169</v>
      </c>
      <c r="AV85" s="12"/>
      <c r="AW85" s="3" t="s">
        <v>170</v>
      </c>
      <c r="AX85" s="3" t="s">
        <v>171</v>
      </c>
      <c r="AY85" s="3" t="s">
        <v>172</v>
      </c>
      <c r="AZ85" s="3" t="s">
        <v>173</v>
      </c>
      <c r="BA85" s="3" t="s">
        <v>174</v>
      </c>
      <c r="BB85" s="3" t="s">
        <v>175</v>
      </c>
      <c r="BC85" s="3" t="s">
        <v>176</v>
      </c>
      <c r="BD85" s="3" t="s">
        <v>177</v>
      </c>
      <c r="BE85" s="3" t="s">
        <v>178</v>
      </c>
      <c r="BF85" s="3" t="s">
        <v>179</v>
      </c>
      <c r="BG85" s="3" t="s">
        <v>180</v>
      </c>
      <c r="BH85" s="3" t="s">
        <v>181</v>
      </c>
      <c r="BI85" s="3" t="s">
        <v>182</v>
      </c>
      <c r="BJ85" s="3" t="s">
        <v>183</v>
      </c>
      <c r="BK85" s="3" t="s">
        <v>184</v>
      </c>
      <c r="BL85" s="3" t="s">
        <v>185</v>
      </c>
      <c r="BM85" s="3" t="s">
        <v>186</v>
      </c>
      <c r="BN85" s="3" t="s">
        <v>152</v>
      </c>
      <c r="BO85" s="3" t="s">
        <v>152</v>
      </c>
      <c r="BP85" s="3" t="s">
        <v>152</v>
      </c>
      <c r="BQ85" s="3">
        <v>208</v>
      </c>
      <c r="BR85" s="3">
        <v>180</v>
      </c>
      <c r="BS85" s="3">
        <v>102</v>
      </c>
      <c r="BT85" s="3">
        <v>178</v>
      </c>
      <c r="BU85" s="3">
        <v>614</v>
      </c>
      <c r="BV85" s="3">
        <v>678</v>
      </c>
      <c r="BW85" s="3">
        <v>1126</v>
      </c>
      <c r="BX85" s="3" t="s">
        <v>111</v>
      </c>
      <c r="BY85" s="3" t="s">
        <v>153</v>
      </c>
      <c r="BZ85" s="3">
        <v>0</v>
      </c>
      <c r="CA85" s="3" t="s">
        <v>111</v>
      </c>
      <c r="CB85" s="3" t="s">
        <v>111</v>
      </c>
      <c r="CC85" s="3" t="s">
        <v>154</v>
      </c>
      <c r="CD85" s="3" t="s">
        <v>111</v>
      </c>
      <c r="CE85" s="3">
        <v>5022</v>
      </c>
    </row>
    <row r="86" spans="1:83" s="3" customFormat="1" ht="16" x14ac:dyDescent="0.2">
      <c r="A86" s="3" t="s">
        <v>3356</v>
      </c>
      <c r="B86" s="5" t="s">
        <v>4726</v>
      </c>
      <c r="C86" s="4">
        <v>12</v>
      </c>
      <c r="D86" s="5" t="s">
        <v>4734</v>
      </c>
      <c r="E86" s="3" t="s">
        <v>3414</v>
      </c>
      <c r="F86" s="3">
        <v>18034</v>
      </c>
      <c r="G86" s="14">
        <v>45155.808333333334</v>
      </c>
      <c r="H86" s="14">
        <v>45161.845833333333</v>
      </c>
      <c r="I86" s="3" t="s">
        <v>187</v>
      </c>
      <c r="J86" s="3" t="s">
        <v>111</v>
      </c>
      <c r="K86" s="3" t="s">
        <v>111</v>
      </c>
      <c r="L86" s="3" t="s">
        <v>111</v>
      </c>
      <c r="M86" s="3" t="s">
        <v>112</v>
      </c>
      <c r="N86" s="3" t="s">
        <v>113</v>
      </c>
      <c r="O86" s="3" t="s">
        <v>113</v>
      </c>
      <c r="P86" s="3">
        <v>0</v>
      </c>
      <c r="Q86" s="3" t="s">
        <v>113</v>
      </c>
      <c r="R86" s="3" t="s">
        <v>114</v>
      </c>
      <c r="S86" s="3" t="s">
        <v>115</v>
      </c>
      <c r="T86" s="3" t="s">
        <v>116</v>
      </c>
      <c r="U86" s="3" t="s">
        <v>117</v>
      </c>
      <c r="V86" s="3" t="s">
        <v>118</v>
      </c>
      <c r="W86" s="7" t="s">
        <v>220</v>
      </c>
      <c r="X86" s="3" t="s">
        <v>221</v>
      </c>
      <c r="Y86" s="7" t="s">
        <v>222</v>
      </c>
      <c r="Z86" s="3" t="s">
        <v>223</v>
      </c>
      <c r="AA86" s="3" t="s">
        <v>224</v>
      </c>
      <c r="AB86" s="3" t="s">
        <v>225</v>
      </c>
      <c r="AC86" s="3" t="s">
        <v>226</v>
      </c>
      <c r="AD86" s="3" t="s">
        <v>227</v>
      </c>
      <c r="AE86" s="3" t="s">
        <v>228</v>
      </c>
      <c r="AF86" s="3" t="s">
        <v>229</v>
      </c>
      <c r="AG86" s="3" t="s">
        <v>230</v>
      </c>
      <c r="AH86" s="3">
        <v>264.9092</v>
      </c>
      <c r="AI86" s="3" t="s">
        <v>231</v>
      </c>
      <c r="AJ86" s="3" t="s">
        <v>113</v>
      </c>
      <c r="AK86" s="3" t="s">
        <v>113</v>
      </c>
      <c r="AL86" s="3" t="s">
        <v>113</v>
      </c>
      <c r="AM86" s="3" t="s">
        <v>131</v>
      </c>
      <c r="AN86" s="3" t="s">
        <v>3356</v>
      </c>
      <c r="AO86" s="3" t="s">
        <v>3414</v>
      </c>
      <c r="AP86" s="7" t="s">
        <v>232</v>
      </c>
      <c r="AQ86" s="7">
        <f t="shared" si="14"/>
        <v>0.66</v>
      </c>
      <c r="AR86" s="3" t="s">
        <v>233</v>
      </c>
      <c r="AS86" s="10">
        <v>0.19900000000000001</v>
      </c>
      <c r="AT86" s="11">
        <f t="shared" si="15"/>
        <v>0.19900000000000001</v>
      </c>
      <c r="AU86" s="3" t="s">
        <v>235</v>
      </c>
      <c r="AV86" s="12"/>
      <c r="AW86" s="3" t="s">
        <v>236</v>
      </c>
      <c r="AX86" s="3" t="s">
        <v>237</v>
      </c>
      <c r="AY86" s="3" t="s">
        <v>238</v>
      </c>
      <c r="AZ86" s="3" t="s">
        <v>239</v>
      </c>
      <c r="BA86" s="3" t="s">
        <v>240</v>
      </c>
      <c r="BB86" s="3" t="s">
        <v>241</v>
      </c>
      <c r="BC86" s="3" t="s">
        <v>242</v>
      </c>
      <c r="BD86" s="3" t="s">
        <v>243</v>
      </c>
      <c r="BE86" s="3" t="s">
        <v>244</v>
      </c>
      <c r="BF86" s="3" t="s">
        <v>245</v>
      </c>
      <c r="BG86" s="3" t="s">
        <v>246</v>
      </c>
      <c r="BH86" s="3" t="s">
        <v>247</v>
      </c>
      <c r="BI86" s="3" t="s">
        <v>248</v>
      </c>
      <c r="BJ86" s="3" t="s">
        <v>249</v>
      </c>
      <c r="BK86" s="3" t="s">
        <v>250</v>
      </c>
      <c r="BL86" s="3" t="s">
        <v>251</v>
      </c>
      <c r="BM86" s="3" t="s">
        <v>252</v>
      </c>
      <c r="BN86" s="3" t="s">
        <v>152</v>
      </c>
      <c r="BO86" s="3" t="s">
        <v>152</v>
      </c>
      <c r="BP86" s="3" t="s">
        <v>152</v>
      </c>
      <c r="BQ86" s="3">
        <v>168</v>
      </c>
      <c r="BR86" s="3">
        <v>204</v>
      </c>
      <c r="BS86" s="3">
        <v>101</v>
      </c>
      <c r="BT86" s="3">
        <v>443</v>
      </c>
      <c r="BU86" s="3">
        <v>403</v>
      </c>
      <c r="BV86" s="3">
        <v>491</v>
      </c>
      <c r="BW86" s="3">
        <v>1050</v>
      </c>
      <c r="BX86" s="3" t="s">
        <v>111</v>
      </c>
      <c r="BY86" s="3" t="s">
        <v>153</v>
      </c>
      <c r="BZ86" s="3">
        <v>0</v>
      </c>
      <c r="CA86" s="3" t="s">
        <v>111</v>
      </c>
      <c r="CB86" s="3" t="s">
        <v>111</v>
      </c>
      <c r="CC86" s="3" t="s">
        <v>219</v>
      </c>
      <c r="CD86" s="3" t="s">
        <v>111</v>
      </c>
      <c r="CE86" s="3">
        <v>5022</v>
      </c>
    </row>
    <row r="87" spans="1:83" s="3" customFormat="1" ht="16" x14ac:dyDescent="0.2">
      <c r="A87" s="3" t="s">
        <v>3357</v>
      </c>
      <c r="B87" s="4" t="s">
        <v>4726</v>
      </c>
      <c r="C87" s="4">
        <v>12</v>
      </c>
      <c r="D87" s="5" t="s">
        <v>4734</v>
      </c>
      <c r="E87" s="3" t="s">
        <v>3414</v>
      </c>
      <c r="F87" s="3">
        <v>18035</v>
      </c>
      <c r="G87" s="14">
        <v>45155.810416666667</v>
      </c>
      <c r="H87" s="14">
        <v>45167.504861111112</v>
      </c>
      <c r="I87" s="3" t="s">
        <v>253</v>
      </c>
      <c r="J87" s="3" t="s">
        <v>111</v>
      </c>
      <c r="K87" s="3" t="s">
        <v>111</v>
      </c>
      <c r="L87" s="3" t="s">
        <v>111</v>
      </c>
      <c r="M87" s="3" t="s">
        <v>112</v>
      </c>
      <c r="N87" s="3" t="s">
        <v>113</v>
      </c>
      <c r="O87" s="3" t="s">
        <v>113</v>
      </c>
      <c r="P87" s="3">
        <v>0</v>
      </c>
      <c r="Q87" s="3" t="s">
        <v>113</v>
      </c>
      <c r="R87" s="3" t="s">
        <v>114</v>
      </c>
      <c r="S87" s="3" t="s">
        <v>115</v>
      </c>
      <c r="T87" s="3" t="s">
        <v>116</v>
      </c>
      <c r="U87" s="3" t="s">
        <v>117</v>
      </c>
      <c r="V87" s="3" t="s">
        <v>118</v>
      </c>
      <c r="W87" s="7" t="s">
        <v>287</v>
      </c>
      <c r="X87" s="3" t="s">
        <v>288</v>
      </c>
      <c r="Y87" s="7" t="s">
        <v>289</v>
      </c>
      <c r="Z87" s="3" t="s">
        <v>290</v>
      </c>
      <c r="AA87" s="3" t="s">
        <v>291</v>
      </c>
      <c r="AB87" s="3" t="s">
        <v>292</v>
      </c>
      <c r="AC87" s="3" t="s">
        <v>293</v>
      </c>
      <c r="AD87" s="3" t="s">
        <v>294</v>
      </c>
      <c r="AE87" s="3" t="s">
        <v>295</v>
      </c>
      <c r="AF87" s="3" t="s">
        <v>296</v>
      </c>
      <c r="AG87" s="3" t="s">
        <v>297</v>
      </c>
      <c r="AH87" s="3">
        <v>308.66669999999999</v>
      </c>
      <c r="AI87" s="3" t="s">
        <v>298</v>
      </c>
      <c r="AJ87" s="3" t="s">
        <v>113</v>
      </c>
      <c r="AK87" s="3" t="s">
        <v>113</v>
      </c>
      <c r="AL87" s="3" t="s">
        <v>113</v>
      </c>
      <c r="AM87" s="3" t="s">
        <v>131</v>
      </c>
      <c r="AN87" s="3" t="s">
        <v>3357</v>
      </c>
      <c r="AO87" s="3" t="s">
        <v>3414</v>
      </c>
      <c r="AP87" s="7" t="s">
        <v>299</v>
      </c>
      <c r="AQ87" s="7">
        <f t="shared" si="14"/>
        <v>0.69520000000000004</v>
      </c>
      <c r="AR87" s="3" t="s">
        <v>300</v>
      </c>
      <c r="AS87" s="10">
        <v>0.25259999999999999</v>
      </c>
      <c r="AT87" s="11">
        <f t="shared" si="15"/>
        <v>0.25259999999999999</v>
      </c>
      <c r="AU87" s="3" t="s">
        <v>301</v>
      </c>
      <c r="AV87" s="12"/>
      <c r="AW87" s="3" t="s">
        <v>302</v>
      </c>
      <c r="AX87" s="3" t="s">
        <v>303</v>
      </c>
      <c r="AY87" s="3" t="s">
        <v>304</v>
      </c>
      <c r="AZ87" s="3" t="s">
        <v>305</v>
      </c>
      <c r="BA87" s="3" t="s">
        <v>306</v>
      </c>
      <c r="BB87" s="3" t="s">
        <v>307</v>
      </c>
      <c r="BC87" s="3" t="s">
        <v>308</v>
      </c>
      <c r="BD87" s="3" t="s">
        <v>309</v>
      </c>
      <c r="BE87" s="3" t="s">
        <v>310</v>
      </c>
      <c r="BF87" s="3" t="s">
        <v>311</v>
      </c>
      <c r="BG87" s="3" t="s">
        <v>312</v>
      </c>
      <c r="BH87" s="3" t="s">
        <v>313</v>
      </c>
      <c r="BI87" s="3" t="s">
        <v>314</v>
      </c>
      <c r="BJ87" s="3" t="s">
        <v>315</v>
      </c>
      <c r="BK87" s="3" t="s">
        <v>316</v>
      </c>
      <c r="BL87" s="3" t="s">
        <v>312</v>
      </c>
      <c r="BM87" s="3" t="s">
        <v>317</v>
      </c>
      <c r="BN87" s="3" t="s">
        <v>152</v>
      </c>
      <c r="BO87" s="3" t="s">
        <v>152</v>
      </c>
      <c r="BP87" s="3" t="s">
        <v>152</v>
      </c>
      <c r="BQ87" s="3">
        <v>160</v>
      </c>
      <c r="BR87" s="3">
        <v>200</v>
      </c>
      <c r="BS87" s="3">
        <v>89</v>
      </c>
      <c r="BT87" s="3">
        <v>1138</v>
      </c>
      <c r="BU87" s="3">
        <v>335</v>
      </c>
      <c r="BV87" s="3">
        <v>701</v>
      </c>
      <c r="BW87" s="3">
        <v>1126</v>
      </c>
      <c r="BX87" s="3" t="s">
        <v>111</v>
      </c>
      <c r="BY87" s="3" t="s">
        <v>153</v>
      </c>
      <c r="BZ87" s="3">
        <v>0</v>
      </c>
      <c r="CA87" s="3" t="s">
        <v>111</v>
      </c>
      <c r="CB87" s="3" t="s">
        <v>111</v>
      </c>
      <c r="CC87" s="3" t="s">
        <v>286</v>
      </c>
      <c r="CD87" s="3" t="s">
        <v>111</v>
      </c>
      <c r="CE87" s="3">
        <v>5022</v>
      </c>
    </row>
    <row r="88" spans="1:83" s="3" customFormat="1" ht="16" x14ac:dyDescent="0.2">
      <c r="A88" s="3" t="s">
        <v>3358</v>
      </c>
      <c r="B88" s="4" t="s">
        <v>4726</v>
      </c>
      <c r="C88" s="4">
        <v>12</v>
      </c>
      <c r="D88" s="5" t="s">
        <v>4734</v>
      </c>
      <c r="E88" s="3" t="s">
        <v>3414</v>
      </c>
      <c r="F88" s="3">
        <v>18036</v>
      </c>
      <c r="G88" s="14">
        <v>45155.825694444444</v>
      </c>
      <c r="H88" s="14">
        <v>45167.5625</v>
      </c>
      <c r="I88" s="3" t="s">
        <v>318</v>
      </c>
      <c r="J88" s="3" t="s">
        <v>111</v>
      </c>
      <c r="K88" s="3" t="s">
        <v>111</v>
      </c>
      <c r="L88" s="3" t="s">
        <v>111</v>
      </c>
      <c r="M88" s="3" t="s">
        <v>112</v>
      </c>
      <c r="N88" s="3" t="s">
        <v>113</v>
      </c>
      <c r="O88" s="3" t="s">
        <v>113</v>
      </c>
      <c r="P88" s="3">
        <v>0</v>
      </c>
      <c r="Q88" s="3" t="s">
        <v>113</v>
      </c>
      <c r="R88" s="3" t="s">
        <v>114</v>
      </c>
      <c r="S88" s="3" t="s">
        <v>115</v>
      </c>
      <c r="T88" s="3" t="s">
        <v>116</v>
      </c>
      <c r="U88" s="3" t="s">
        <v>117</v>
      </c>
      <c r="V88" s="3" t="s">
        <v>118</v>
      </c>
      <c r="W88" s="7" t="s">
        <v>352</v>
      </c>
      <c r="X88" s="3" t="s">
        <v>353</v>
      </c>
      <c r="Y88" s="7" t="s">
        <v>354</v>
      </c>
      <c r="Z88" s="3" t="s">
        <v>355</v>
      </c>
      <c r="AA88" s="3" t="s">
        <v>356</v>
      </c>
      <c r="AB88" s="3" t="s">
        <v>357</v>
      </c>
      <c r="AC88" s="3" t="s">
        <v>358</v>
      </c>
      <c r="AD88" s="3" t="s">
        <v>359</v>
      </c>
      <c r="AE88" s="3" t="s">
        <v>233</v>
      </c>
      <c r="AF88" s="3" t="s">
        <v>360</v>
      </c>
      <c r="AG88" s="3" t="s">
        <v>361</v>
      </c>
      <c r="AH88" s="3">
        <v>281.48180000000002</v>
      </c>
      <c r="AI88" s="3" t="s">
        <v>362</v>
      </c>
      <c r="AJ88" s="3" t="s">
        <v>113</v>
      </c>
      <c r="AK88" s="3" t="s">
        <v>113</v>
      </c>
      <c r="AL88" s="3" t="s">
        <v>113</v>
      </c>
      <c r="AM88" s="3" t="s">
        <v>131</v>
      </c>
      <c r="AN88" s="3" t="s">
        <v>3358</v>
      </c>
      <c r="AO88" s="3" t="s">
        <v>3414</v>
      </c>
      <c r="AP88" s="7" t="s">
        <v>363</v>
      </c>
      <c r="AQ88" s="7">
        <f t="shared" si="14"/>
        <v>0.59430000000000005</v>
      </c>
      <c r="AR88" s="3" t="s">
        <v>364</v>
      </c>
      <c r="AS88" s="10" t="s">
        <v>365</v>
      </c>
      <c r="AT88" s="11">
        <f t="shared" si="15"/>
        <v>0.2074</v>
      </c>
      <c r="AU88" s="3" t="s">
        <v>366</v>
      </c>
      <c r="AV88" s="12"/>
      <c r="AW88" s="3" t="s">
        <v>367</v>
      </c>
      <c r="AX88" s="3" t="s">
        <v>368</v>
      </c>
      <c r="AY88" s="3" t="s">
        <v>369</v>
      </c>
      <c r="AZ88" s="3" t="s">
        <v>370</v>
      </c>
      <c r="BA88" s="3" t="s">
        <v>371</v>
      </c>
      <c r="BB88" s="3" t="s">
        <v>372</v>
      </c>
      <c r="BC88" s="3" t="s">
        <v>181</v>
      </c>
      <c r="BD88" s="3" t="s">
        <v>373</v>
      </c>
      <c r="BE88" s="3" t="s">
        <v>374</v>
      </c>
      <c r="BF88" s="3" t="s">
        <v>375</v>
      </c>
      <c r="BG88" s="3" t="s">
        <v>376</v>
      </c>
      <c r="BH88" s="3" t="s">
        <v>377</v>
      </c>
      <c r="BI88" s="3" t="s">
        <v>378</v>
      </c>
      <c r="BJ88" s="3" t="s">
        <v>379</v>
      </c>
      <c r="BK88" s="3" t="s">
        <v>380</v>
      </c>
      <c r="BL88" s="3" t="s">
        <v>381</v>
      </c>
      <c r="BM88" s="3" t="s">
        <v>382</v>
      </c>
      <c r="BN88" s="3" t="s">
        <v>152</v>
      </c>
      <c r="BO88" s="3" t="s">
        <v>152</v>
      </c>
      <c r="BP88" s="3" t="s">
        <v>152</v>
      </c>
      <c r="BQ88" s="3">
        <v>168</v>
      </c>
      <c r="BR88" s="3">
        <v>184</v>
      </c>
      <c r="BS88" s="3">
        <v>92</v>
      </c>
      <c r="BT88" s="3">
        <v>1416</v>
      </c>
      <c r="BU88" s="3">
        <v>705</v>
      </c>
      <c r="BV88" s="3">
        <v>768</v>
      </c>
      <c r="BW88" s="3">
        <v>1126</v>
      </c>
      <c r="BX88" s="3" t="s">
        <v>111</v>
      </c>
      <c r="BY88" s="3" t="s">
        <v>153</v>
      </c>
      <c r="BZ88" s="3">
        <v>0</v>
      </c>
      <c r="CA88" s="3" t="s">
        <v>111</v>
      </c>
      <c r="CB88" s="3" t="s">
        <v>111</v>
      </c>
      <c r="CC88" s="3" t="s">
        <v>351</v>
      </c>
      <c r="CD88" s="3" t="s">
        <v>111</v>
      </c>
      <c r="CE88" s="3">
        <v>5022</v>
      </c>
    </row>
    <row r="89" spans="1:83" s="3" customFormat="1" ht="16" x14ac:dyDescent="0.2">
      <c r="A89" s="3" t="s">
        <v>3359</v>
      </c>
      <c r="B89" s="4" t="s">
        <v>4726</v>
      </c>
      <c r="C89" s="4">
        <v>12</v>
      </c>
      <c r="D89" s="5" t="s">
        <v>4734</v>
      </c>
      <c r="E89" s="3" t="s">
        <v>3414</v>
      </c>
      <c r="F89" s="3">
        <v>18037</v>
      </c>
      <c r="G89" s="14">
        <v>45155.820138888892</v>
      </c>
      <c r="H89" s="14">
        <v>45167.573611111111</v>
      </c>
      <c r="I89" s="3" t="s">
        <v>383</v>
      </c>
      <c r="J89" s="3" t="s">
        <v>111</v>
      </c>
      <c r="K89" s="3" t="s">
        <v>111</v>
      </c>
      <c r="L89" s="3" t="s">
        <v>111</v>
      </c>
      <c r="M89" s="3" t="s">
        <v>112</v>
      </c>
      <c r="N89" s="3" t="s">
        <v>113</v>
      </c>
      <c r="O89" s="3" t="s">
        <v>113</v>
      </c>
      <c r="P89" s="3">
        <v>0</v>
      </c>
      <c r="Q89" s="3" t="s">
        <v>113</v>
      </c>
      <c r="R89" s="3" t="s">
        <v>114</v>
      </c>
      <c r="S89" s="3" t="s">
        <v>115</v>
      </c>
      <c r="T89" s="3" t="s">
        <v>116</v>
      </c>
      <c r="U89" s="3" t="s">
        <v>117</v>
      </c>
      <c r="V89" s="3" t="s">
        <v>118</v>
      </c>
      <c r="W89" s="7" t="s">
        <v>418</v>
      </c>
      <c r="X89" s="3" t="s">
        <v>419</v>
      </c>
      <c r="Y89" s="7" t="s">
        <v>420</v>
      </c>
      <c r="Z89" s="3" t="s">
        <v>421</v>
      </c>
      <c r="AA89" s="3" t="s">
        <v>422</v>
      </c>
      <c r="AB89" s="3" t="s">
        <v>423</v>
      </c>
      <c r="AC89" s="3" t="s">
        <v>424</v>
      </c>
      <c r="AD89" s="3" t="s">
        <v>425</v>
      </c>
      <c r="AE89" s="3" t="s">
        <v>426</v>
      </c>
      <c r="AF89" s="3" t="s">
        <v>427</v>
      </c>
      <c r="AG89" s="3" t="s">
        <v>428</v>
      </c>
      <c r="AH89" s="3">
        <v>308.95749999999998</v>
      </c>
      <c r="AI89" s="3" t="s">
        <v>429</v>
      </c>
      <c r="AJ89" s="3" t="s">
        <v>113</v>
      </c>
      <c r="AK89" s="3" t="s">
        <v>113</v>
      </c>
      <c r="AL89" s="3" t="s">
        <v>113</v>
      </c>
      <c r="AM89" s="3" t="s">
        <v>131</v>
      </c>
      <c r="AN89" s="3" t="s">
        <v>3359</v>
      </c>
      <c r="AO89" s="3" t="s">
        <v>3414</v>
      </c>
      <c r="AP89" s="7" t="s">
        <v>430</v>
      </c>
      <c r="AQ89" s="7">
        <f t="shared" si="14"/>
        <v>0.74329999999999996</v>
      </c>
      <c r="AR89" s="3" t="s">
        <v>431</v>
      </c>
      <c r="AS89" s="10" t="s">
        <v>432</v>
      </c>
      <c r="AT89" s="11">
        <f t="shared" si="15"/>
        <v>0.2492</v>
      </c>
      <c r="AU89" s="3" t="s">
        <v>433</v>
      </c>
      <c r="AV89" s="12"/>
      <c r="AW89" s="3" t="s">
        <v>434</v>
      </c>
      <c r="AX89" s="3" t="s">
        <v>435</v>
      </c>
      <c r="AY89" s="3" t="s">
        <v>436</v>
      </c>
      <c r="AZ89" s="3" t="s">
        <v>437</v>
      </c>
      <c r="BA89" s="3" t="s">
        <v>438</v>
      </c>
      <c r="BB89" s="3" t="s">
        <v>439</v>
      </c>
      <c r="BC89" s="3" t="s">
        <v>185</v>
      </c>
      <c r="BD89" s="3" t="s">
        <v>440</v>
      </c>
      <c r="BE89" s="3" t="s">
        <v>441</v>
      </c>
      <c r="BF89" s="3" t="s">
        <v>442</v>
      </c>
      <c r="BG89" s="3" t="s">
        <v>443</v>
      </c>
      <c r="BH89" s="3" t="s">
        <v>444</v>
      </c>
      <c r="BI89" s="3" t="s">
        <v>445</v>
      </c>
      <c r="BJ89" s="3" t="s">
        <v>446</v>
      </c>
      <c r="BK89" s="3" t="s">
        <v>447</v>
      </c>
      <c r="BL89" s="3" t="s">
        <v>448</v>
      </c>
      <c r="BM89" s="3" t="s">
        <v>449</v>
      </c>
      <c r="BN89" s="3" t="s">
        <v>152</v>
      </c>
      <c r="BO89" s="3" t="s">
        <v>152</v>
      </c>
      <c r="BP89" s="3" t="s">
        <v>152</v>
      </c>
      <c r="BQ89" s="3">
        <v>184</v>
      </c>
      <c r="BR89" s="3">
        <v>220</v>
      </c>
      <c r="BS89" s="3">
        <v>105</v>
      </c>
      <c r="BT89" s="3">
        <v>1486</v>
      </c>
      <c r="BU89" s="3">
        <v>1116</v>
      </c>
      <c r="BV89" s="3">
        <v>311</v>
      </c>
      <c r="BW89" s="3">
        <v>1040</v>
      </c>
      <c r="BX89" s="3" t="s">
        <v>111</v>
      </c>
      <c r="BY89" s="3" t="s">
        <v>153</v>
      </c>
      <c r="BZ89" s="3">
        <v>0</v>
      </c>
      <c r="CA89" s="3" t="s">
        <v>111</v>
      </c>
      <c r="CB89" s="3" t="s">
        <v>111</v>
      </c>
      <c r="CC89" s="3" t="s">
        <v>417</v>
      </c>
      <c r="CD89" s="3" t="s">
        <v>111</v>
      </c>
      <c r="CE89" s="3">
        <v>5022</v>
      </c>
    </row>
    <row r="90" spans="1:83" s="3" customFormat="1" ht="16" x14ac:dyDescent="0.2">
      <c r="A90" s="3" t="s">
        <v>3360</v>
      </c>
      <c r="B90" s="5" t="s">
        <v>4726</v>
      </c>
      <c r="C90" s="4">
        <v>12</v>
      </c>
      <c r="D90" s="5" t="s">
        <v>4734</v>
      </c>
      <c r="E90" s="3" t="s">
        <v>3414</v>
      </c>
      <c r="F90" s="3">
        <v>18039</v>
      </c>
      <c r="G90" s="14">
        <v>45155.831944444442</v>
      </c>
      <c r="H90" s="14">
        <v>45167.584722222222</v>
      </c>
      <c r="I90" s="3" t="s">
        <v>450</v>
      </c>
      <c r="J90" s="3" t="s">
        <v>111</v>
      </c>
      <c r="K90" s="3" t="s">
        <v>111</v>
      </c>
      <c r="L90" s="3" t="s">
        <v>111</v>
      </c>
      <c r="M90" s="3" t="s">
        <v>112</v>
      </c>
      <c r="N90" s="3" t="s">
        <v>113</v>
      </c>
      <c r="O90" s="3" t="s">
        <v>113</v>
      </c>
      <c r="P90" s="3">
        <v>0</v>
      </c>
      <c r="Q90" s="3" t="s">
        <v>113</v>
      </c>
      <c r="R90" s="3" t="s">
        <v>114</v>
      </c>
      <c r="S90" s="3" t="s">
        <v>115</v>
      </c>
      <c r="T90" s="3" t="s">
        <v>116</v>
      </c>
      <c r="U90" s="3" t="s">
        <v>117</v>
      </c>
      <c r="V90" s="3" t="s">
        <v>118</v>
      </c>
      <c r="W90" s="7" t="s">
        <v>484</v>
      </c>
      <c r="X90" s="3" t="s">
        <v>485</v>
      </c>
      <c r="Y90" s="7" t="s">
        <v>486</v>
      </c>
      <c r="Z90" s="3" t="s">
        <v>487</v>
      </c>
      <c r="AA90" s="3" t="s">
        <v>488</v>
      </c>
      <c r="AB90" s="3" t="s">
        <v>489</v>
      </c>
      <c r="AC90" s="3" t="s">
        <v>490</v>
      </c>
      <c r="AD90" s="3" t="s">
        <v>491</v>
      </c>
      <c r="AE90" s="3" t="s">
        <v>492</v>
      </c>
      <c r="AF90" s="3" t="s">
        <v>493</v>
      </c>
      <c r="AG90" s="3" t="s">
        <v>494</v>
      </c>
      <c r="AH90" s="3">
        <v>465.52539999999999</v>
      </c>
      <c r="AI90" s="3" t="s">
        <v>495</v>
      </c>
      <c r="AJ90" s="3" t="s">
        <v>113</v>
      </c>
      <c r="AK90" s="3" t="s">
        <v>113</v>
      </c>
      <c r="AL90" s="3" t="s">
        <v>113</v>
      </c>
      <c r="AM90" s="3" t="s">
        <v>131</v>
      </c>
      <c r="AN90" s="3" t="s">
        <v>3360</v>
      </c>
      <c r="AO90" s="3" t="s">
        <v>3414</v>
      </c>
      <c r="AP90" s="7" t="s">
        <v>496</v>
      </c>
      <c r="AQ90" s="7">
        <f t="shared" si="14"/>
        <v>0.46970000000000001</v>
      </c>
      <c r="AR90" s="3" t="s">
        <v>497</v>
      </c>
      <c r="AS90" s="10" t="s">
        <v>498</v>
      </c>
      <c r="AT90" s="11">
        <f t="shared" si="15"/>
        <v>0.42120000000000002</v>
      </c>
      <c r="AU90" s="3" t="s">
        <v>499</v>
      </c>
      <c r="AV90" s="12"/>
      <c r="AW90" s="3" t="s">
        <v>500</v>
      </c>
      <c r="AX90" s="3" t="s">
        <v>501</v>
      </c>
      <c r="AY90" s="3" t="s">
        <v>502</v>
      </c>
      <c r="AZ90" s="3" t="s">
        <v>503</v>
      </c>
      <c r="BA90" s="3" t="s">
        <v>504</v>
      </c>
      <c r="BB90" s="3" t="s">
        <v>505</v>
      </c>
      <c r="BC90" s="3" t="s">
        <v>506</v>
      </c>
      <c r="BD90" s="3" t="s">
        <v>507</v>
      </c>
      <c r="BE90" s="3" t="s">
        <v>508</v>
      </c>
      <c r="BF90" s="3" t="s">
        <v>509</v>
      </c>
      <c r="BG90" s="3" t="s">
        <v>510</v>
      </c>
      <c r="BH90" s="3" t="s">
        <v>511</v>
      </c>
      <c r="BI90" s="3" t="s">
        <v>512</v>
      </c>
      <c r="BJ90" s="3" t="s">
        <v>513</v>
      </c>
      <c r="BK90" s="3" t="s">
        <v>514</v>
      </c>
      <c r="BL90" s="3" t="s">
        <v>515</v>
      </c>
      <c r="BM90" s="3" t="s">
        <v>516</v>
      </c>
      <c r="BN90" s="3" t="s">
        <v>152</v>
      </c>
      <c r="BO90" s="3" t="s">
        <v>152</v>
      </c>
      <c r="BP90" s="3" t="s">
        <v>152</v>
      </c>
      <c r="BQ90" s="3">
        <v>176</v>
      </c>
      <c r="BR90" s="3">
        <v>164</v>
      </c>
      <c r="BS90" s="3">
        <v>96</v>
      </c>
      <c r="BT90" s="3">
        <v>1156</v>
      </c>
      <c r="BU90" s="3">
        <v>1489</v>
      </c>
      <c r="BV90" s="3">
        <v>151</v>
      </c>
      <c r="BW90" s="3">
        <v>940</v>
      </c>
      <c r="BX90" s="3" t="s">
        <v>111</v>
      </c>
      <c r="BY90" s="3" t="s">
        <v>153</v>
      </c>
      <c r="BZ90" s="3">
        <v>0</v>
      </c>
      <c r="CA90" s="3" t="s">
        <v>111</v>
      </c>
      <c r="CB90" s="3" t="s">
        <v>111</v>
      </c>
      <c r="CC90" s="3" t="s">
        <v>483</v>
      </c>
      <c r="CD90" s="3" t="s">
        <v>111</v>
      </c>
      <c r="CE90" s="3">
        <v>5022</v>
      </c>
    </row>
    <row r="91" spans="1:83" s="3" customFormat="1" ht="16" x14ac:dyDescent="0.2">
      <c r="A91" s="3" t="s">
        <v>3361</v>
      </c>
      <c r="B91" s="4" t="s">
        <v>4726</v>
      </c>
      <c r="C91" s="4">
        <v>12</v>
      </c>
      <c r="D91" s="5" t="s">
        <v>4734</v>
      </c>
      <c r="E91" s="3" t="s">
        <v>3414</v>
      </c>
      <c r="F91" s="3">
        <v>18040</v>
      </c>
      <c r="G91" s="14">
        <v>45155.838888888888</v>
      </c>
      <c r="H91" s="14">
        <v>45167.6</v>
      </c>
      <c r="I91" s="3" t="s">
        <v>517</v>
      </c>
      <c r="J91" s="3" t="s">
        <v>111</v>
      </c>
      <c r="K91" s="3" t="s">
        <v>111</v>
      </c>
      <c r="L91" s="3" t="s">
        <v>111</v>
      </c>
      <c r="M91" s="3" t="s">
        <v>112</v>
      </c>
      <c r="N91" s="3" t="s">
        <v>113</v>
      </c>
      <c r="O91" s="3" t="s">
        <v>113</v>
      </c>
      <c r="P91" s="3">
        <v>0</v>
      </c>
      <c r="Q91" s="3" t="s">
        <v>113</v>
      </c>
      <c r="R91" s="3" t="s">
        <v>114</v>
      </c>
      <c r="S91" s="3" t="s">
        <v>115</v>
      </c>
      <c r="T91" s="3" t="s">
        <v>116</v>
      </c>
      <c r="U91" s="3" t="s">
        <v>117</v>
      </c>
      <c r="V91" s="3" t="s">
        <v>118</v>
      </c>
      <c r="W91" s="7" t="s">
        <v>551</v>
      </c>
      <c r="X91" s="3" t="s">
        <v>552</v>
      </c>
      <c r="Y91" s="7" t="s">
        <v>553</v>
      </c>
      <c r="Z91" s="3" t="s">
        <v>554</v>
      </c>
      <c r="AA91" s="3" t="s">
        <v>555</v>
      </c>
      <c r="AB91" s="3" t="s">
        <v>556</v>
      </c>
      <c r="AC91" s="3" t="s">
        <v>557</v>
      </c>
      <c r="AD91" s="3" t="s">
        <v>558</v>
      </c>
      <c r="AE91" s="3" t="s">
        <v>559</v>
      </c>
      <c r="AF91" s="3" t="s">
        <v>360</v>
      </c>
      <c r="AG91" s="3" t="s">
        <v>560</v>
      </c>
      <c r="AH91" s="3">
        <v>277.19330000000002</v>
      </c>
      <c r="AI91" s="3" t="s">
        <v>561</v>
      </c>
      <c r="AJ91" s="3" t="s">
        <v>113</v>
      </c>
      <c r="AK91" s="3" t="s">
        <v>113</v>
      </c>
      <c r="AL91" s="3" t="s">
        <v>113</v>
      </c>
      <c r="AM91" s="3" t="s">
        <v>131</v>
      </c>
      <c r="AN91" s="3" t="s">
        <v>3361</v>
      </c>
      <c r="AO91" s="3" t="s">
        <v>3414</v>
      </c>
      <c r="AP91" s="7" t="s">
        <v>562</v>
      </c>
      <c r="AQ91" s="7">
        <f t="shared" si="14"/>
        <v>0.54730000000000001</v>
      </c>
      <c r="AR91" s="3" t="s">
        <v>563</v>
      </c>
      <c r="AS91" s="10" t="s">
        <v>564</v>
      </c>
      <c r="AT91" s="11">
        <f t="shared" si="15"/>
        <v>0.2104</v>
      </c>
      <c r="AU91" s="3" t="s">
        <v>565</v>
      </c>
      <c r="AV91" s="12"/>
      <c r="AW91" s="3" t="s">
        <v>566</v>
      </c>
      <c r="AX91" s="3" t="s">
        <v>567</v>
      </c>
      <c r="AY91" s="3" t="s">
        <v>568</v>
      </c>
      <c r="AZ91" s="3" t="s">
        <v>569</v>
      </c>
      <c r="BA91" s="3" t="s">
        <v>570</v>
      </c>
      <c r="BB91" s="3" t="s">
        <v>571</v>
      </c>
      <c r="BC91" s="3" t="s">
        <v>572</v>
      </c>
      <c r="BD91" s="3" t="s">
        <v>573</v>
      </c>
      <c r="BE91" s="3" t="s">
        <v>574</v>
      </c>
      <c r="BF91" s="3" t="s">
        <v>575</v>
      </c>
      <c r="BG91" s="3" t="s">
        <v>576</v>
      </c>
      <c r="BH91" s="3" t="s">
        <v>577</v>
      </c>
      <c r="BI91" s="3" t="s">
        <v>578</v>
      </c>
      <c r="BJ91" s="3" t="s">
        <v>579</v>
      </c>
      <c r="BK91" s="3" t="s">
        <v>580</v>
      </c>
      <c r="BL91" s="3" t="s">
        <v>581</v>
      </c>
      <c r="BM91" s="3" t="s">
        <v>582</v>
      </c>
      <c r="BN91" s="3" t="s">
        <v>152</v>
      </c>
      <c r="BO91" s="3" t="s">
        <v>152</v>
      </c>
      <c r="BP91" s="3" t="s">
        <v>152</v>
      </c>
      <c r="BQ91" s="3">
        <v>168</v>
      </c>
      <c r="BR91" s="3">
        <v>156</v>
      </c>
      <c r="BS91" s="3">
        <v>105</v>
      </c>
      <c r="BT91" s="3">
        <v>455</v>
      </c>
      <c r="BU91" s="3">
        <v>1584</v>
      </c>
      <c r="BV91" s="3">
        <v>805</v>
      </c>
      <c r="BW91" s="3">
        <v>1126</v>
      </c>
      <c r="BX91" s="3" t="s">
        <v>111</v>
      </c>
      <c r="BY91" s="3" t="s">
        <v>153</v>
      </c>
      <c r="BZ91" s="3">
        <v>0</v>
      </c>
      <c r="CA91" s="3" t="s">
        <v>111</v>
      </c>
      <c r="CB91" s="3" t="s">
        <v>111</v>
      </c>
      <c r="CC91" s="3" t="s">
        <v>550</v>
      </c>
      <c r="CD91" s="3" t="s">
        <v>111</v>
      </c>
      <c r="CE91" s="3">
        <v>5022</v>
      </c>
    </row>
    <row r="92" spans="1:83" s="3" customFormat="1" x14ac:dyDescent="0.2">
      <c r="D92" s="5"/>
      <c r="G92" s="14"/>
      <c r="H92" s="14"/>
      <c r="W92" s="7"/>
      <c r="Y92" s="7"/>
      <c r="AP92" s="7"/>
      <c r="AQ92" s="7"/>
      <c r="AS92" s="10"/>
      <c r="AT92" s="11"/>
      <c r="AV92" s="12"/>
    </row>
    <row r="93" spans="1:83" s="3" customFormat="1" x14ac:dyDescent="0.2">
      <c r="D93" s="5"/>
      <c r="G93" s="14"/>
      <c r="H93" s="14"/>
      <c r="W93" s="7"/>
      <c r="Y93" s="7"/>
      <c r="AP93" s="7"/>
      <c r="AQ93" s="7"/>
      <c r="AS93" s="10"/>
      <c r="AT93" s="11"/>
      <c r="AV93" s="12"/>
    </row>
    <row r="94" spans="1:83" s="3" customFormat="1" ht="16" x14ac:dyDescent="0.2">
      <c r="A94" s="3" t="s">
        <v>3370</v>
      </c>
      <c r="B94" s="4" t="s">
        <v>4726</v>
      </c>
      <c r="C94" s="4">
        <v>12</v>
      </c>
      <c r="D94" s="5" t="s">
        <v>4732</v>
      </c>
      <c r="E94" s="3" t="s">
        <v>3414</v>
      </c>
      <c r="F94" s="3">
        <v>18050</v>
      </c>
      <c r="G94" s="14">
        <v>45156.55</v>
      </c>
      <c r="H94" s="14">
        <v>45170.311805555553</v>
      </c>
      <c r="I94" s="3" t="s">
        <v>1079</v>
      </c>
      <c r="J94" s="3" t="s">
        <v>111</v>
      </c>
      <c r="K94" s="3" t="s">
        <v>111</v>
      </c>
      <c r="L94" s="3" t="s">
        <v>111</v>
      </c>
      <c r="M94" s="3" t="s">
        <v>112</v>
      </c>
      <c r="N94" s="3" t="s">
        <v>113</v>
      </c>
      <c r="O94" s="3" t="s">
        <v>113</v>
      </c>
      <c r="P94" s="3">
        <v>0</v>
      </c>
      <c r="Q94" s="3" t="s">
        <v>113</v>
      </c>
      <c r="R94" s="3" t="s">
        <v>114</v>
      </c>
      <c r="S94" s="3" t="s">
        <v>115</v>
      </c>
      <c r="T94" s="3" t="s">
        <v>116</v>
      </c>
      <c r="U94" s="3" t="s">
        <v>117</v>
      </c>
      <c r="V94" s="3" t="s">
        <v>118</v>
      </c>
      <c r="W94" s="7" t="s">
        <v>1108</v>
      </c>
      <c r="X94" s="3" t="s">
        <v>1109</v>
      </c>
      <c r="Y94" s="7" t="s">
        <v>1110</v>
      </c>
      <c r="Z94" s="3" t="s">
        <v>1111</v>
      </c>
      <c r="AA94" s="3" t="s">
        <v>1112</v>
      </c>
      <c r="AB94" s="3" t="s">
        <v>1113</v>
      </c>
      <c r="AC94" s="3" t="s">
        <v>1114</v>
      </c>
      <c r="AD94" s="3" t="s">
        <v>1115</v>
      </c>
      <c r="AE94" s="3" t="s">
        <v>1116</v>
      </c>
      <c r="AF94" s="3" t="s">
        <v>1117</v>
      </c>
      <c r="AG94" s="3" t="s">
        <v>1118</v>
      </c>
      <c r="AH94" s="3">
        <v>312.66460000000001</v>
      </c>
      <c r="AI94" s="3" t="s">
        <v>1119</v>
      </c>
      <c r="AJ94" s="3" t="s">
        <v>113</v>
      </c>
      <c r="AK94" s="3" t="s">
        <v>113</v>
      </c>
      <c r="AL94" s="3" t="s">
        <v>113</v>
      </c>
      <c r="AM94" s="3" t="s">
        <v>131</v>
      </c>
      <c r="AN94" s="3" t="s">
        <v>3370</v>
      </c>
      <c r="AO94" s="3" t="s">
        <v>3414</v>
      </c>
      <c r="AP94" s="7" t="s">
        <v>1120</v>
      </c>
      <c r="AQ94" s="7">
        <f t="shared" ref="AQ94:AQ96" si="16">VALUE(AP94)</f>
        <v>0.69950000000000001</v>
      </c>
      <c r="AR94" s="3" t="s">
        <v>1121</v>
      </c>
      <c r="AS94" s="10" t="s">
        <v>1122</v>
      </c>
      <c r="AT94" s="11">
        <f t="shared" ref="AT94:AT96" si="17">VALUE(AS94)</f>
        <v>0.25950000000000001</v>
      </c>
      <c r="AU94" s="3" t="s">
        <v>1123</v>
      </c>
      <c r="AV94" s="12"/>
      <c r="AW94" s="3" t="s">
        <v>1124</v>
      </c>
      <c r="AX94" s="3" t="s">
        <v>1125</v>
      </c>
      <c r="AY94" s="3" t="s">
        <v>1126</v>
      </c>
      <c r="AZ94" s="3" t="s">
        <v>1127</v>
      </c>
      <c r="BA94" s="3" t="s">
        <v>1128</v>
      </c>
      <c r="BB94" s="3" t="s">
        <v>1129</v>
      </c>
      <c r="BC94" s="3" t="s">
        <v>1130</v>
      </c>
      <c r="BD94" s="3" t="s">
        <v>1131</v>
      </c>
      <c r="BE94" s="3" t="s">
        <v>1100</v>
      </c>
      <c r="BF94" s="3" t="s">
        <v>1132</v>
      </c>
      <c r="BG94" s="3" t="s">
        <v>1133</v>
      </c>
      <c r="BH94" s="3" t="s">
        <v>1134</v>
      </c>
      <c r="BI94" s="3" t="s">
        <v>1135</v>
      </c>
      <c r="BJ94" s="3" t="s">
        <v>1136</v>
      </c>
      <c r="BK94" s="3" t="s">
        <v>1137</v>
      </c>
      <c r="BL94" s="3" t="s">
        <v>1138</v>
      </c>
      <c r="BM94" s="3" t="s">
        <v>1139</v>
      </c>
      <c r="BN94" s="3" t="s">
        <v>152</v>
      </c>
      <c r="BO94" s="3" t="s">
        <v>152</v>
      </c>
      <c r="BP94" s="3" t="s">
        <v>152</v>
      </c>
      <c r="BQ94" s="3">
        <v>232</v>
      </c>
      <c r="BR94" s="3">
        <v>172</v>
      </c>
      <c r="BS94" s="3">
        <v>76</v>
      </c>
      <c r="BT94" s="3">
        <v>328</v>
      </c>
      <c r="BU94" s="3">
        <v>1256</v>
      </c>
      <c r="BV94" s="3">
        <v>724</v>
      </c>
      <c r="BW94" s="3">
        <v>1100</v>
      </c>
      <c r="BX94" s="3" t="s">
        <v>111</v>
      </c>
      <c r="BY94" s="3" t="s">
        <v>153</v>
      </c>
      <c r="BZ94" s="3">
        <v>0</v>
      </c>
      <c r="CA94" s="3" t="s">
        <v>111</v>
      </c>
      <c r="CB94" s="3" t="s">
        <v>111</v>
      </c>
      <c r="CC94" s="3" t="s">
        <v>1107</v>
      </c>
      <c r="CD94" s="3" t="s">
        <v>111</v>
      </c>
      <c r="CE94" s="3">
        <v>5022</v>
      </c>
    </row>
    <row r="95" spans="1:83" s="3" customFormat="1" ht="16" x14ac:dyDescent="0.2">
      <c r="A95" s="3" t="s">
        <v>3371</v>
      </c>
      <c r="B95" s="5" t="s">
        <v>4726</v>
      </c>
      <c r="C95" s="4">
        <v>12</v>
      </c>
      <c r="D95" s="5" t="s">
        <v>4732</v>
      </c>
      <c r="E95" s="3" t="s">
        <v>3414</v>
      </c>
      <c r="F95" s="3">
        <v>18051</v>
      </c>
      <c r="G95" s="14">
        <v>45156.603472222225</v>
      </c>
      <c r="H95" s="14">
        <v>45170.3125</v>
      </c>
      <c r="I95" s="3" t="s">
        <v>1140</v>
      </c>
      <c r="J95" s="3" t="s">
        <v>111</v>
      </c>
      <c r="K95" s="3" t="s">
        <v>111</v>
      </c>
      <c r="L95" s="3" t="s">
        <v>111</v>
      </c>
      <c r="M95" s="3" t="s">
        <v>112</v>
      </c>
      <c r="N95" s="3" t="s">
        <v>113</v>
      </c>
      <c r="O95" s="3" t="s">
        <v>113</v>
      </c>
      <c r="P95" s="3">
        <v>0</v>
      </c>
      <c r="Q95" s="3" t="s">
        <v>113</v>
      </c>
      <c r="R95" s="3" t="s">
        <v>114</v>
      </c>
      <c r="S95" s="3" t="s">
        <v>115</v>
      </c>
      <c r="T95" s="3" t="s">
        <v>116</v>
      </c>
      <c r="U95" s="3" t="s">
        <v>117</v>
      </c>
      <c r="V95" s="3" t="s">
        <v>118</v>
      </c>
      <c r="W95" s="7" t="s">
        <v>1168</v>
      </c>
      <c r="X95" s="3" t="s">
        <v>1169</v>
      </c>
      <c r="Y95" s="7" t="s">
        <v>1170</v>
      </c>
      <c r="Z95" s="3" t="s">
        <v>1171</v>
      </c>
      <c r="AA95" s="3" t="s">
        <v>1172</v>
      </c>
      <c r="AB95" s="3" t="s">
        <v>1173</v>
      </c>
      <c r="AC95" s="3" t="s">
        <v>1174</v>
      </c>
      <c r="AD95" s="3" t="s">
        <v>1175</v>
      </c>
      <c r="AE95" s="3" t="s">
        <v>1065</v>
      </c>
      <c r="AF95" s="3" t="s">
        <v>1176</v>
      </c>
      <c r="AG95" s="3" t="s">
        <v>707</v>
      </c>
      <c r="AH95" s="3">
        <v>263.16469999999998</v>
      </c>
      <c r="AI95" s="3" t="s">
        <v>1177</v>
      </c>
      <c r="AJ95" s="3" t="s">
        <v>113</v>
      </c>
      <c r="AK95" s="3" t="s">
        <v>113</v>
      </c>
      <c r="AL95" s="3" t="s">
        <v>113</v>
      </c>
      <c r="AM95" s="3" t="s">
        <v>131</v>
      </c>
      <c r="AN95" s="3" t="s">
        <v>3371</v>
      </c>
      <c r="AO95" s="3" t="s">
        <v>3414</v>
      </c>
      <c r="AP95" s="7" t="s">
        <v>1178</v>
      </c>
      <c r="AQ95" s="7">
        <f t="shared" si="16"/>
        <v>0.83330000000000004</v>
      </c>
      <c r="AR95" s="3" t="s">
        <v>1179</v>
      </c>
      <c r="AS95" s="10" t="s">
        <v>1180</v>
      </c>
      <c r="AT95" s="11">
        <f t="shared" si="17"/>
        <v>0.20499999999999999</v>
      </c>
      <c r="AU95" s="3" t="s">
        <v>1181</v>
      </c>
      <c r="AV95" s="12"/>
      <c r="AW95" s="3" t="s">
        <v>1182</v>
      </c>
      <c r="AX95" s="3" t="s">
        <v>1183</v>
      </c>
      <c r="AY95" s="3" t="s">
        <v>1184</v>
      </c>
      <c r="AZ95" s="3" t="s">
        <v>1185</v>
      </c>
      <c r="BA95" s="3" t="s">
        <v>1186</v>
      </c>
      <c r="BB95" s="3" t="s">
        <v>1187</v>
      </c>
      <c r="BC95" s="3" t="s">
        <v>613</v>
      </c>
      <c r="BD95" s="3" t="s">
        <v>177</v>
      </c>
      <c r="BE95" s="3" t="s">
        <v>354</v>
      </c>
      <c r="BF95" s="3" t="s">
        <v>1188</v>
      </c>
      <c r="BG95" s="3" t="s">
        <v>1189</v>
      </c>
      <c r="BH95" s="3" t="s">
        <v>1190</v>
      </c>
      <c r="BI95" s="3" t="s">
        <v>1191</v>
      </c>
      <c r="BJ95" s="3" t="s">
        <v>781</v>
      </c>
      <c r="BK95" s="3" t="s">
        <v>1192</v>
      </c>
      <c r="BL95" s="3" t="s">
        <v>1193</v>
      </c>
      <c r="BM95" s="3" t="s">
        <v>1194</v>
      </c>
      <c r="BN95" s="3" t="s">
        <v>152</v>
      </c>
      <c r="BO95" s="3" t="s">
        <v>152</v>
      </c>
      <c r="BP95" s="3" t="s">
        <v>152</v>
      </c>
      <c r="BQ95" s="3">
        <v>188</v>
      </c>
      <c r="BR95" s="3">
        <v>236</v>
      </c>
      <c r="BS95" s="3">
        <v>81</v>
      </c>
      <c r="BT95" s="3">
        <v>434</v>
      </c>
      <c r="BU95" s="3">
        <v>598</v>
      </c>
      <c r="BV95" s="3">
        <v>719</v>
      </c>
      <c r="BW95" s="3">
        <v>1090</v>
      </c>
      <c r="BX95" s="3" t="s">
        <v>111</v>
      </c>
      <c r="BY95" s="3" t="s">
        <v>153</v>
      </c>
      <c r="BZ95" s="3">
        <v>0</v>
      </c>
      <c r="CA95" s="3" t="s">
        <v>111</v>
      </c>
      <c r="CB95" s="3" t="s">
        <v>111</v>
      </c>
      <c r="CC95" s="3" t="s">
        <v>1167</v>
      </c>
      <c r="CD95" s="3" t="s">
        <v>111</v>
      </c>
      <c r="CE95" s="3">
        <v>5022</v>
      </c>
    </row>
    <row r="96" spans="1:83" s="3" customFormat="1" ht="16" x14ac:dyDescent="0.2">
      <c r="A96" s="3" t="s">
        <v>3372</v>
      </c>
      <c r="B96" s="4" t="s">
        <v>4726</v>
      </c>
      <c r="C96" s="4">
        <v>12</v>
      </c>
      <c r="D96" s="5" t="s">
        <v>4732</v>
      </c>
      <c r="E96" s="3" t="s">
        <v>3414</v>
      </c>
      <c r="F96" s="3">
        <v>18052</v>
      </c>
      <c r="G96" s="14">
        <v>45156.61041666667</v>
      </c>
      <c r="H96" s="14">
        <v>45170.313194444447</v>
      </c>
      <c r="I96" s="3" t="s">
        <v>1195</v>
      </c>
      <c r="J96" s="3" t="s">
        <v>111</v>
      </c>
      <c r="K96" s="3" t="s">
        <v>111</v>
      </c>
      <c r="L96" s="3" t="s">
        <v>111</v>
      </c>
      <c r="M96" s="3" t="s">
        <v>112</v>
      </c>
      <c r="N96" s="3" t="s">
        <v>113</v>
      </c>
      <c r="O96" s="3" t="s">
        <v>113</v>
      </c>
      <c r="P96" s="3">
        <v>0</v>
      </c>
      <c r="Q96" s="3" t="s">
        <v>113</v>
      </c>
      <c r="R96" s="3" t="s">
        <v>114</v>
      </c>
      <c r="S96" s="3" t="s">
        <v>115</v>
      </c>
      <c r="T96" s="3" t="s">
        <v>116</v>
      </c>
      <c r="U96" s="3" t="s">
        <v>117</v>
      </c>
      <c r="V96" s="3" t="s">
        <v>118</v>
      </c>
      <c r="W96" s="7" t="s">
        <v>1225</v>
      </c>
      <c r="X96" s="3" t="s">
        <v>282</v>
      </c>
      <c r="Y96" s="7" t="s">
        <v>1226</v>
      </c>
      <c r="Z96" s="3" t="s">
        <v>1227</v>
      </c>
      <c r="AA96" s="3" t="s">
        <v>1228</v>
      </c>
      <c r="AB96" s="3" t="s">
        <v>1229</v>
      </c>
      <c r="AC96" s="3" t="s">
        <v>1230</v>
      </c>
      <c r="AD96" s="3" t="s">
        <v>1231</v>
      </c>
      <c r="AE96" s="3" t="s">
        <v>1232</v>
      </c>
      <c r="AF96" s="3" t="s">
        <v>1233</v>
      </c>
      <c r="AG96" s="3" t="s">
        <v>1234</v>
      </c>
      <c r="AH96" s="3">
        <v>241.57669999999999</v>
      </c>
      <c r="AI96" s="3" t="s">
        <v>1235</v>
      </c>
      <c r="AJ96" s="3" t="s">
        <v>113</v>
      </c>
      <c r="AK96" s="3" t="s">
        <v>113</v>
      </c>
      <c r="AL96" s="3" t="s">
        <v>113</v>
      </c>
      <c r="AM96" s="3" t="s">
        <v>131</v>
      </c>
      <c r="AN96" s="3" t="s">
        <v>3372</v>
      </c>
      <c r="AO96" s="3" t="s">
        <v>3414</v>
      </c>
      <c r="AP96" s="7" t="s">
        <v>1236</v>
      </c>
      <c r="AQ96" s="7">
        <f t="shared" si="16"/>
        <v>0.75039999999999996</v>
      </c>
      <c r="AR96" s="3" t="s">
        <v>1237</v>
      </c>
      <c r="AS96" s="10" t="s">
        <v>1238</v>
      </c>
      <c r="AT96" s="11">
        <f t="shared" si="17"/>
        <v>0.17810000000000001</v>
      </c>
      <c r="AU96" s="3" t="s">
        <v>1239</v>
      </c>
      <c r="AV96" s="12"/>
      <c r="AW96" s="3" t="s">
        <v>1240</v>
      </c>
      <c r="AX96" s="3" t="s">
        <v>1241</v>
      </c>
      <c r="AY96" s="3" t="s">
        <v>1242</v>
      </c>
      <c r="AZ96" s="3" t="s">
        <v>272</v>
      </c>
      <c r="BA96" s="3" t="s">
        <v>1243</v>
      </c>
      <c r="BB96" s="3" t="s">
        <v>789</v>
      </c>
      <c r="BC96" s="3" t="s">
        <v>1244</v>
      </c>
      <c r="BD96" s="3" t="s">
        <v>1245</v>
      </c>
      <c r="BE96" s="3" t="s">
        <v>1246</v>
      </c>
      <c r="BF96" s="3" t="s">
        <v>1247</v>
      </c>
      <c r="BG96" s="3" t="s">
        <v>1248</v>
      </c>
      <c r="BH96" s="3" t="s">
        <v>1249</v>
      </c>
      <c r="BI96" s="3" t="s">
        <v>1250</v>
      </c>
      <c r="BJ96" s="3" t="s">
        <v>1251</v>
      </c>
      <c r="BK96" s="3" t="s">
        <v>1252</v>
      </c>
      <c r="BL96" s="3" t="s">
        <v>1253</v>
      </c>
      <c r="BM96" s="3" t="s">
        <v>1254</v>
      </c>
      <c r="BN96" s="3" t="s">
        <v>152</v>
      </c>
      <c r="BO96" s="3" t="s">
        <v>152</v>
      </c>
      <c r="BP96" s="3" t="s">
        <v>152</v>
      </c>
      <c r="BQ96" s="3">
        <v>204</v>
      </c>
      <c r="BR96" s="3">
        <v>188</v>
      </c>
      <c r="BS96" s="3">
        <v>88</v>
      </c>
      <c r="BT96" s="3">
        <v>1139</v>
      </c>
      <c r="BU96" s="3">
        <v>474</v>
      </c>
      <c r="BV96" s="3">
        <v>552</v>
      </c>
      <c r="BW96" s="3">
        <v>980</v>
      </c>
      <c r="BX96" s="3" t="s">
        <v>111</v>
      </c>
      <c r="BY96" s="3" t="s">
        <v>153</v>
      </c>
      <c r="BZ96" s="3">
        <v>0</v>
      </c>
      <c r="CA96" s="3" t="s">
        <v>111</v>
      </c>
      <c r="CB96" s="3" t="s">
        <v>111</v>
      </c>
      <c r="CC96" s="3" t="s">
        <v>1224</v>
      </c>
      <c r="CD96" s="3" t="s">
        <v>111</v>
      </c>
      <c r="CE96" s="3">
        <v>5022</v>
      </c>
    </row>
    <row r="97" spans="1:83" s="3" customFormat="1" x14ac:dyDescent="0.2">
      <c r="A97" s="3" t="s">
        <v>3407</v>
      </c>
      <c r="B97" s="5" t="s">
        <v>4726</v>
      </c>
      <c r="C97" s="8">
        <v>11</v>
      </c>
      <c r="D97" s="5" t="s">
        <v>4732</v>
      </c>
      <c r="E97" s="3" t="s">
        <v>3414</v>
      </c>
      <c r="F97" s="3">
        <v>17303</v>
      </c>
      <c r="G97" s="14">
        <v>44747.633333333331</v>
      </c>
      <c r="H97" s="14">
        <v>45159.732638888891</v>
      </c>
      <c r="I97" s="3" t="s">
        <v>2986</v>
      </c>
      <c r="J97" s="3" t="s">
        <v>111</v>
      </c>
      <c r="K97" s="3" t="s">
        <v>111</v>
      </c>
      <c r="L97" s="3" t="s">
        <v>111</v>
      </c>
      <c r="M97" s="3" t="s">
        <v>112</v>
      </c>
      <c r="N97" s="3" t="s">
        <v>2165</v>
      </c>
      <c r="O97" s="3" t="s">
        <v>2166</v>
      </c>
      <c r="P97" s="3">
        <v>36</v>
      </c>
      <c r="Q97" s="3" t="s">
        <v>2167</v>
      </c>
      <c r="R97" s="3" t="s">
        <v>114</v>
      </c>
      <c r="S97" s="3" t="s">
        <v>115</v>
      </c>
      <c r="T97" s="3" t="s">
        <v>116</v>
      </c>
      <c r="U97" s="3" t="s">
        <v>117</v>
      </c>
      <c r="V97" s="3" t="s">
        <v>118</v>
      </c>
      <c r="W97" s="7" t="s">
        <v>3224</v>
      </c>
      <c r="X97" s="3" t="s">
        <v>2993</v>
      </c>
      <c r="Y97" s="7" t="s">
        <v>2511</v>
      </c>
      <c r="Z97" s="3" t="s">
        <v>3225</v>
      </c>
      <c r="AA97" s="3" t="s">
        <v>3226</v>
      </c>
      <c r="AB97" s="3" t="s">
        <v>3227</v>
      </c>
      <c r="AC97" s="3" t="s">
        <v>3228</v>
      </c>
      <c r="AD97" s="3" t="s">
        <v>3229</v>
      </c>
      <c r="AE97" s="3" t="s">
        <v>3230</v>
      </c>
      <c r="AF97" s="3" t="s">
        <v>229</v>
      </c>
      <c r="AG97" s="3" t="s">
        <v>949</v>
      </c>
      <c r="AH97" s="3">
        <v>302.63369999999998</v>
      </c>
      <c r="AI97" s="3" t="s">
        <v>3231</v>
      </c>
      <c r="AJ97" s="3" t="s">
        <v>113</v>
      </c>
      <c r="AK97" s="3" t="s">
        <v>113</v>
      </c>
      <c r="AL97" s="3" t="s">
        <v>113</v>
      </c>
      <c r="AM97" s="3" t="s">
        <v>131</v>
      </c>
      <c r="AN97" s="3" t="s">
        <v>3407</v>
      </c>
      <c r="AO97" s="3" t="s">
        <v>3414</v>
      </c>
      <c r="AP97" s="7" t="s">
        <v>3232</v>
      </c>
      <c r="AQ97" s="7">
        <f t="shared" ref="AQ97:AQ102" si="18">VALUE(AP97)</f>
        <v>0.6472</v>
      </c>
      <c r="AR97" s="3" t="s">
        <v>3122</v>
      </c>
      <c r="AS97" s="10" t="s">
        <v>3233</v>
      </c>
      <c r="AT97" s="11">
        <f t="shared" ref="AT97:AT102" si="19">VALUE(AS97)</f>
        <v>0.2336</v>
      </c>
      <c r="AU97" s="3" t="s">
        <v>3234</v>
      </c>
      <c r="AV97" s="12"/>
      <c r="AW97" s="3" t="s">
        <v>3235</v>
      </c>
      <c r="AX97" s="3" t="s">
        <v>3236</v>
      </c>
      <c r="AY97" s="3" t="s">
        <v>2786</v>
      </c>
      <c r="AZ97" s="3" t="s">
        <v>3237</v>
      </c>
      <c r="BA97" s="3" t="s">
        <v>3238</v>
      </c>
      <c r="BB97" s="3" t="s">
        <v>3239</v>
      </c>
      <c r="BC97" s="3" t="s">
        <v>3240</v>
      </c>
      <c r="BD97" s="3" t="s">
        <v>2989</v>
      </c>
      <c r="BE97" s="3" t="s">
        <v>3241</v>
      </c>
      <c r="BF97" s="3" t="s">
        <v>1303</v>
      </c>
      <c r="BG97" s="3" t="s">
        <v>3242</v>
      </c>
      <c r="BH97" s="3" t="s">
        <v>1565</v>
      </c>
      <c r="BI97" s="3" t="s">
        <v>3243</v>
      </c>
      <c r="BJ97" s="3" t="s">
        <v>530</v>
      </c>
      <c r="BK97" s="3" t="s">
        <v>3244</v>
      </c>
      <c r="BL97" s="3" t="s">
        <v>2190</v>
      </c>
      <c r="BM97" s="3" t="s">
        <v>3245</v>
      </c>
      <c r="BN97" s="3" t="s">
        <v>152</v>
      </c>
      <c r="BO97" s="3" t="s">
        <v>152</v>
      </c>
      <c r="BP97" s="3" t="s">
        <v>152</v>
      </c>
      <c r="BQ97" s="3">
        <v>164</v>
      </c>
      <c r="BR97" s="3">
        <v>240</v>
      </c>
      <c r="BS97" s="3">
        <v>77</v>
      </c>
      <c r="BT97" s="3">
        <v>1005</v>
      </c>
      <c r="BU97" s="3">
        <v>267</v>
      </c>
      <c r="BV97" s="3">
        <v>843</v>
      </c>
      <c r="BW97" s="3">
        <v>1126</v>
      </c>
      <c r="BX97" s="3" t="s">
        <v>153</v>
      </c>
      <c r="BY97" s="3" t="s">
        <v>153</v>
      </c>
      <c r="BZ97" s="3">
        <v>0</v>
      </c>
      <c r="CA97" s="3" t="s">
        <v>2990</v>
      </c>
      <c r="CB97" s="3" t="s">
        <v>111</v>
      </c>
      <c r="CC97" s="3" t="s">
        <v>2990</v>
      </c>
      <c r="CD97" s="3" t="s">
        <v>111</v>
      </c>
      <c r="CE97" s="3">
        <v>5022</v>
      </c>
    </row>
    <row r="98" spans="1:83" s="3" customFormat="1" x14ac:dyDescent="0.2">
      <c r="A98" s="3" t="s">
        <v>3408</v>
      </c>
      <c r="B98" s="5" t="s">
        <v>4726</v>
      </c>
      <c r="C98" s="8">
        <v>11</v>
      </c>
      <c r="D98" s="5" t="s">
        <v>4732</v>
      </c>
      <c r="E98" s="3" t="s">
        <v>3414</v>
      </c>
      <c r="F98" s="3">
        <v>17303</v>
      </c>
      <c r="G98" s="14">
        <v>44747.633333333331</v>
      </c>
      <c r="H98" s="14">
        <v>45159.73541666667</v>
      </c>
      <c r="I98" s="3" t="s">
        <v>2986</v>
      </c>
      <c r="J98" s="3" t="s">
        <v>111</v>
      </c>
      <c r="K98" s="3" t="s">
        <v>111</v>
      </c>
      <c r="L98" s="3" t="s">
        <v>111</v>
      </c>
      <c r="M98" s="3" t="s">
        <v>112</v>
      </c>
      <c r="N98" s="3" t="s">
        <v>2165</v>
      </c>
      <c r="O98" s="3" t="s">
        <v>2166</v>
      </c>
      <c r="P98" s="3">
        <v>36</v>
      </c>
      <c r="Q98" s="3" t="s">
        <v>2167</v>
      </c>
      <c r="R98" s="3" t="s">
        <v>114</v>
      </c>
      <c r="S98" s="3" t="s">
        <v>115</v>
      </c>
      <c r="T98" s="3" t="s">
        <v>116</v>
      </c>
      <c r="U98" s="3" t="s">
        <v>117</v>
      </c>
      <c r="V98" s="3" t="s">
        <v>118</v>
      </c>
      <c r="W98" s="7" t="s">
        <v>3246</v>
      </c>
      <c r="X98" s="3" t="s">
        <v>1198</v>
      </c>
      <c r="Y98" s="7" t="s">
        <v>3247</v>
      </c>
      <c r="Z98" s="3" t="s">
        <v>3248</v>
      </c>
      <c r="AA98" s="3" t="s">
        <v>3249</v>
      </c>
      <c r="AB98" s="3" t="s">
        <v>3250</v>
      </c>
      <c r="AC98" s="3" t="s">
        <v>3251</v>
      </c>
      <c r="AD98" s="3" t="s">
        <v>3252</v>
      </c>
      <c r="AE98" s="3" t="s">
        <v>233</v>
      </c>
      <c r="AF98" s="3" t="s">
        <v>3253</v>
      </c>
      <c r="AG98" s="3" t="s">
        <v>3254</v>
      </c>
      <c r="AH98" s="3">
        <v>313.60950000000003</v>
      </c>
      <c r="AI98" s="3" t="s">
        <v>3255</v>
      </c>
      <c r="AJ98" s="3" t="s">
        <v>113</v>
      </c>
      <c r="AK98" s="3" t="s">
        <v>113</v>
      </c>
      <c r="AL98" s="3" t="s">
        <v>113</v>
      </c>
      <c r="AM98" s="3" t="s">
        <v>131</v>
      </c>
      <c r="AN98" s="3" t="s">
        <v>3408</v>
      </c>
      <c r="AO98" s="3" t="s">
        <v>3414</v>
      </c>
      <c r="AP98" s="7" t="s">
        <v>3256</v>
      </c>
      <c r="AQ98" s="7">
        <f t="shared" si="18"/>
        <v>0.59279999999999999</v>
      </c>
      <c r="AR98" s="3" t="s">
        <v>2727</v>
      </c>
      <c r="AS98" s="10" t="s">
        <v>3257</v>
      </c>
      <c r="AT98" s="11">
        <f t="shared" si="19"/>
        <v>0.26679999999999998</v>
      </c>
      <c r="AU98" s="3" t="s">
        <v>3258</v>
      </c>
      <c r="AV98" s="12"/>
      <c r="AW98" s="3" t="s">
        <v>3259</v>
      </c>
      <c r="AX98" s="3" t="s">
        <v>3260</v>
      </c>
      <c r="AY98" s="3" t="s">
        <v>549</v>
      </c>
      <c r="AZ98" s="3" t="s">
        <v>1645</v>
      </c>
      <c r="BA98" s="3" t="s">
        <v>3261</v>
      </c>
      <c r="BB98" s="3" t="s">
        <v>2498</v>
      </c>
      <c r="BC98" s="3" t="s">
        <v>3262</v>
      </c>
      <c r="BD98" s="3" t="s">
        <v>580</v>
      </c>
      <c r="BE98" s="3" t="s">
        <v>2683</v>
      </c>
      <c r="BF98" s="3" t="s">
        <v>3263</v>
      </c>
      <c r="BG98" s="3" t="s">
        <v>1743</v>
      </c>
      <c r="BH98" s="3" t="s">
        <v>965</v>
      </c>
      <c r="BI98" s="3" t="s">
        <v>3264</v>
      </c>
      <c r="BJ98" s="3" t="s">
        <v>1217</v>
      </c>
      <c r="BK98" s="3" t="s">
        <v>3265</v>
      </c>
      <c r="BL98" s="3" t="s">
        <v>3266</v>
      </c>
      <c r="BM98" s="3" t="s">
        <v>3267</v>
      </c>
      <c r="BN98" s="3" t="s">
        <v>152</v>
      </c>
      <c r="BO98" s="3" t="s">
        <v>152</v>
      </c>
      <c r="BP98" s="3" t="s">
        <v>152</v>
      </c>
      <c r="BQ98" s="3">
        <v>160</v>
      </c>
      <c r="BR98" s="3">
        <v>204</v>
      </c>
      <c r="BS98" s="3">
        <v>71</v>
      </c>
      <c r="BT98" s="3">
        <v>1330</v>
      </c>
      <c r="BU98" s="3">
        <v>484</v>
      </c>
      <c r="BV98" s="3">
        <v>669</v>
      </c>
      <c r="BW98" s="3">
        <v>1126</v>
      </c>
      <c r="BX98" s="3" t="s">
        <v>153</v>
      </c>
      <c r="BY98" s="3" t="s">
        <v>153</v>
      </c>
      <c r="BZ98" s="3">
        <v>0</v>
      </c>
      <c r="CA98" s="3" t="s">
        <v>2990</v>
      </c>
      <c r="CB98" s="3" t="s">
        <v>111</v>
      </c>
      <c r="CC98" s="3" t="s">
        <v>2990</v>
      </c>
      <c r="CD98" s="3" t="s">
        <v>111</v>
      </c>
      <c r="CE98" s="3">
        <v>5022</v>
      </c>
    </row>
    <row r="99" spans="1:83" s="3" customFormat="1" x14ac:dyDescent="0.2">
      <c r="A99" s="3" t="s">
        <v>3409</v>
      </c>
      <c r="B99" s="5" t="s">
        <v>4726</v>
      </c>
      <c r="C99" s="8">
        <v>11</v>
      </c>
      <c r="D99" s="5" t="s">
        <v>4732</v>
      </c>
      <c r="E99" s="3" t="s">
        <v>3414</v>
      </c>
      <c r="F99" s="3">
        <v>17303</v>
      </c>
      <c r="G99" s="14">
        <v>44747.633333333331</v>
      </c>
      <c r="H99" s="14">
        <v>45159.738194444442</v>
      </c>
      <c r="I99" s="3" t="s">
        <v>2986</v>
      </c>
      <c r="J99" s="3" t="s">
        <v>111</v>
      </c>
      <c r="K99" s="3" t="s">
        <v>111</v>
      </c>
      <c r="L99" s="3" t="s">
        <v>111</v>
      </c>
      <c r="M99" s="3" t="s">
        <v>112</v>
      </c>
      <c r="N99" s="3" t="s">
        <v>2165</v>
      </c>
      <c r="O99" s="3" t="s">
        <v>2166</v>
      </c>
      <c r="P99" s="3">
        <v>36</v>
      </c>
      <c r="Q99" s="3" t="s">
        <v>2167</v>
      </c>
      <c r="R99" s="3" t="s">
        <v>114</v>
      </c>
      <c r="S99" s="3" t="s">
        <v>115</v>
      </c>
      <c r="T99" s="3" t="s">
        <v>116</v>
      </c>
      <c r="U99" s="3" t="s">
        <v>117</v>
      </c>
      <c r="V99" s="3" t="s">
        <v>118</v>
      </c>
      <c r="W99" s="7" t="s">
        <v>3268</v>
      </c>
      <c r="X99" s="3" t="s">
        <v>2716</v>
      </c>
      <c r="Y99" s="7" t="s">
        <v>3269</v>
      </c>
      <c r="Z99" s="3" t="s">
        <v>3270</v>
      </c>
      <c r="AA99" s="3" t="s">
        <v>3271</v>
      </c>
      <c r="AB99" s="3" t="s">
        <v>3272</v>
      </c>
      <c r="AC99" s="3" t="s">
        <v>3273</v>
      </c>
      <c r="AD99" s="3" t="s">
        <v>3274</v>
      </c>
      <c r="AE99" s="3" t="s">
        <v>2616</v>
      </c>
      <c r="AF99" s="3" t="s">
        <v>3275</v>
      </c>
      <c r="AG99" s="3" t="s">
        <v>2486</v>
      </c>
      <c r="AH99" s="3">
        <v>301.90690000000001</v>
      </c>
      <c r="AI99" s="3" t="s">
        <v>3276</v>
      </c>
      <c r="AJ99" s="3" t="s">
        <v>113</v>
      </c>
      <c r="AK99" s="3" t="s">
        <v>113</v>
      </c>
      <c r="AL99" s="3" t="s">
        <v>113</v>
      </c>
      <c r="AM99" s="3" t="s">
        <v>131</v>
      </c>
      <c r="AN99" s="3" t="s">
        <v>3409</v>
      </c>
      <c r="AO99" s="3" t="s">
        <v>3414</v>
      </c>
      <c r="AP99" s="7" t="s">
        <v>3277</v>
      </c>
      <c r="AQ99" s="7">
        <f t="shared" si="18"/>
        <v>0.61939999999999995</v>
      </c>
      <c r="AR99" s="3" t="s">
        <v>3278</v>
      </c>
      <c r="AS99" s="10" t="s">
        <v>1164</v>
      </c>
      <c r="AT99" s="11">
        <f t="shared" si="19"/>
        <v>0.2253</v>
      </c>
      <c r="AU99" s="3" t="s">
        <v>3279</v>
      </c>
      <c r="AV99" s="12"/>
      <c r="AW99" s="3" t="s">
        <v>3280</v>
      </c>
      <c r="AX99" s="3" t="s">
        <v>3281</v>
      </c>
      <c r="AY99" s="3" t="s">
        <v>3282</v>
      </c>
      <c r="AZ99" s="3" t="s">
        <v>2490</v>
      </c>
      <c r="BA99" s="3" t="s">
        <v>3283</v>
      </c>
      <c r="BB99" s="3" t="s">
        <v>3284</v>
      </c>
      <c r="BC99" s="3" t="s">
        <v>3285</v>
      </c>
      <c r="BD99" s="3" t="s">
        <v>3286</v>
      </c>
      <c r="BE99" s="3" t="s">
        <v>1826</v>
      </c>
      <c r="BF99" s="3" t="s">
        <v>799</v>
      </c>
      <c r="BG99" s="3" t="s">
        <v>3107</v>
      </c>
      <c r="BH99" s="3" t="s">
        <v>3287</v>
      </c>
      <c r="BI99" s="3" t="s">
        <v>3288</v>
      </c>
      <c r="BJ99" s="3" t="s">
        <v>1597</v>
      </c>
      <c r="BK99" s="3" t="s">
        <v>379</v>
      </c>
      <c r="BL99" s="3" t="s">
        <v>3289</v>
      </c>
      <c r="BM99" s="3" t="s">
        <v>2477</v>
      </c>
      <c r="BN99" s="3" t="s">
        <v>152</v>
      </c>
      <c r="BO99" s="3" t="s">
        <v>152</v>
      </c>
      <c r="BP99" s="3" t="s">
        <v>152</v>
      </c>
      <c r="BQ99" s="3">
        <v>184</v>
      </c>
      <c r="BR99" s="3">
        <v>184</v>
      </c>
      <c r="BS99" s="3">
        <v>85</v>
      </c>
      <c r="BT99" s="3">
        <v>1445</v>
      </c>
      <c r="BU99" s="3">
        <v>1199</v>
      </c>
      <c r="BV99" s="3">
        <v>561</v>
      </c>
      <c r="BW99" s="3">
        <v>1126</v>
      </c>
      <c r="BX99" s="3" t="s">
        <v>153</v>
      </c>
      <c r="BY99" s="3" t="s">
        <v>153</v>
      </c>
      <c r="BZ99" s="3">
        <v>0</v>
      </c>
      <c r="CA99" s="3" t="s">
        <v>2990</v>
      </c>
      <c r="CB99" s="3" t="s">
        <v>111</v>
      </c>
      <c r="CC99" s="3" t="s">
        <v>2990</v>
      </c>
      <c r="CD99" s="3" t="s">
        <v>111</v>
      </c>
      <c r="CE99" s="3">
        <v>5022</v>
      </c>
    </row>
    <row r="100" spans="1:83" s="3" customFormat="1" x14ac:dyDescent="0.2">
      <c r="A100" s="3" t="s">
        <v>3410</v>
      </c>
      <c r="B100" s="5" t="s">
        <v>4727</v>
      </c>
      <c r="C100" s="8">
        <v>11</v>
      </c>
      <c r="D100" s="5" t="s">
        <v>4732</v>
      </c>
      <c r="E100" s="3" t="s">
        <v>3414</v>
      </c>
      <c r="F100" s="3">
        <v>17303</v>
      </c>
      <c r="G100" s="14">
        <v>44747.633333333331</v>
      </c>
      <c r="H100" s="14">
        <v>45159.741666666669</v>
      </c>
      <c r="I100" s="3" t="s">
        <v>2986</v>
      </c>
      <c r="J100" s="3" t="s">
        <v>111</v>
      </c>
      <c r="K100" s="3" t="s">
        <v>111</v>
      </c>
      <c r="L100" s="3" t="s">
        <v>111</v>
      </c>
      <c r="M100" s="3" t="s">
        <v>112</v>
      </c>
      <c r="N100" s="3" t="s">
        <v>2165</v>
      </c>
      <c r="O100" s="3" t="s">
        <v>2166</v>
      </c>
      <c r="P100" s="3">
        <v>36</v>
      </c>
      <c r="Q100" s="3" t="s">
        <v>2167</v>
      </c>
      <c r="R100" s="3" t="s">
        <v>114</v>
      </c>
      <c r="S100" s="3" t="s">
        <v>115</v>
      </c>
      <c r="T100" s="3" t="s">
        <v>116</v>
      </c>
      <c r="U100" s="3" t="s">
        <v>117</v>
      </c>
      <c r="V100" s="3" t="s">
        <v>118</v>
      </c>
      <c r="W100" s="7" t="s">
        <v>3290</v>
      </c>
      <c r="X100" s="3" t="s">
        <v>3291</v>
      </c>
      <c r="Y100" s="7" t="s">
        <v>3292</v>
      </c>
      <c r="Z100" s="3" t="s">
        <v>3293</v>
      </c>
      <c r="AA100" s="3" t="s">
        <v>3294</v>
      </c>
      <c r="AB100" s="3" t="s">
        <v>3295</v>
      </c>
      <c r="AC100" s="3" t="s">
        <v>3296</v>
      </c>
      <c r="AD100" s="3" t="s">
        <v>705</v>
      </c>
      <c r="AE100" s="3" t="s">
        <v>1735</v>
      </c>
      <c r="AF100" s="3" t="s">
        <v>263</v>
      </c>
      <c r="AG100" s="3" t="s">
        <v>1721</v>
      </c>
      <c r="AH100" s="3">
        <v>286.56990000000002</v>
      </c>
      <c r="AI100" s="3" t="s">
        <v>3297</v>
      </c>
      <c r="AJ100" s="3" t="s">
        <v>113</v>
      </c>
      <c r="AK100" s="3" t="s">
        <v>113</v>
      </c>
      <c r="AL100" s="3" t="s">
        <v>113</v>
      </c>
      <c r="AM100" s="3" t="s">
        <v>131</v>
      </c>
      <c r="AN100" s="3" t="s">
        <v>3410</v>
      </c>
      <c r="AO100" s="3" t="s">
        <v>3414</v>
      </c>
      <c r="AP100" s="7" t="s">
        <v>3298</v>
      </c>
      <c r="AQ100" s="7">
        <f t="shared" si="18"/>
        <v>0.86319999999999997</v>
      </c>
      <c r="AR100" s="3" t="s">
        <v>3084</v>
      </c>
      <c r="AS100" s="10" t="s">
        <v>1098</v>
      </c>
      <c r="AT100" s="11">
        <f t="shared" si="19"/>
        <v>0.2379</v>
      </c>
      <c r="AU100" s="3" t="s">
        <v>3299</v>
      </c>
      <c r="AV100" s="12"/>
      <c r="AW100" s="3" t="s">
        <v>3300</v>
      </c>
      <c r="AX100" s="3" t="s">
        <v>3301</v>
      </c>
      <c r="AY100" s="3" t="s">
        <v>3302</v>
      </c>
      <c r="AZ100" s="3" t="s">
        <v>2600</v>
      </c>
      <c r="BA100" s="3" t="s">
        <v>3303</v>
      </c>
      <c r="BB100" s="3" t="s">
        <v>3304</v>
      </c>
      <c r="BC100" s="3" t="s">
        <v>3305</v>
      </c>
      <c r="BD100" s="3" t="s">
        <v>3306</v>
      </c>
      <c r="BE100" s="3" t="s">
        <v>1963</v>
      </c>
      <c r="BF100" s="3" t="s">
        <v>3307</v>
      </c>
      <c r="BG100" s="3" t="s">
        <v>2596</v>
      </c>
      <c r="BH100" s="3" t="s">
        <v>278</v>
      </c>
      <c r="BI100" s="3" t="s">
        <v>2994</v>
      </c>
      <c r="BJ100" s="3" t="s">
        <v>1420</v>
      </c>
      <c r="BK100" s="3" t="s">
        <v>1662</v>
      </c>
      <c r="BL100" s="3" t="s">
        <v>3308</v>
      </c>
      <c r="BM100" s="3" t="s">
        <v>2430</v>
      </c>
      <c r="BN100" s="3" t="s">
        <v>152</v>
      </c>
      <c r="BO100" s="3" t="s">
        <v>152</v>
      </c>
      <c r="BP100" s="3" t="s">
        <v>152</v>
      </c>
      <c r="BQ100" s="3">
        <v>172</v>
      </c>
      <c r="BR100" s="3">
        <v>240</v>
      </c>
      <c r="BS100" s="3">
        <v>79</v>
      </c>
      <c r="BT100" s="3">
        <v>1167</v>
      </c>
      <c r="BU100" s="3">
        <v>1524</v>
      </c>
      <c r="BV100" s="3">
        <v>581</v>
      </c>
      <c r="BW100" s="3">
        <v>1126</v>
      </c>
      <c r="BX100" s="3" t="s">
        <v>153</v>
      </c>
      <c r="BY100" s="3" t="s">
        <v>153</v>
      </c>
      <c r="BZ100" s="3">
        <v>0</v>
      </c>
      <c r="CA100" s="3" t="s">
        <v>2990</v>
      </c>
      <c r="CB100" s="3" t="s">
        <v>111</v>
      </c>
      <c r="CC100" s="3" t="s">
        <v>2990</v>
      </c>
      <c r="CD100" s="3" t="s">
        <v>111</v>
      </c>
      <c r="CE100" s="3">
        <v>5022</v>
      </c>
    </row>
    <row r="101" spans="1:83" s="3" customFormat="1" x14ac:dyDescent="0.2">
      <c r="A101" s="3" t="s">
        <v>3411</v>
      </c>
      <c r="B101" s="5" t="s">
        <v>4727</v>
      </c>
      <c r="C101" s="8">
        <v>11</v>
      </c>
      <c r="D101" s="5" t="s">
        <v>4732</v>
      </c>
      <c r="E101" s="3" t="s">
        <v>3414</v>
      </c>
      <c r="F101" s="3">
        <v>17303</v>
      </c>
      <c r="G101" s="14">
        <v>44747.633333333331</v>
      </c>
      <c r="H101" s="14">
        <v>45159.743750000001</v>
      </c>
      <c r="I101" s="3" t="s">
        <v>2986</v>
      </c>
      <c r="J101" s="3" t="s">
        <v>111</v>
      </c>
      <c r="K101" s="3" t="s">
        <v>111</v>
      </c>
      <c r="L101" s="3" t="s">
        <v>111</v>
      </c>
      <c r="M101" s="3" t="s">
        <v>112</v>
      </c>
      <c r="N101" s="3" t="s">
        <v>2165</v>
      </c>
      <c r="O101" s="3" t="s">
        <v>2166</v>
      </c>
      <c r="P101" s="3">
        <v>36</v>
      </c>
      <c r="Q101" s="3" t="s">
        <v>2167</v>
      </c>
      <c r="R101" s="3" t="s">
        <v>114</v>
      </c>
      <c r="S101" s="3" t="s">
        <v>115</v>
      </c>
      <c r="T101" s="3" t="s">
        <v>116</v>
      </c>
      <c r="U101" s="3" t="s">
        <v>117</v>
      </c>
      <c r="V101" s="3" t="s">
        <v>118</v>
      </c>
      <c r="W101" s="7" t="s">
        <v>3309</v>
      </c>
      <c r="X101" s="3" t="s">
        <v>1238</v>
      </c>
      <c r="Y101" s="7" t="s">
        <v>2991</v>
      </c>
      <c r="Z101" s="3" t="s">
        <v>3310</v>
      </c>
      <c r="AA101" s="3" t="s">
        <v>3311</v>
      </c>
      <c r="AB101" s="3" t="s">
        <v>3312</v>
      </c>
      <c r="AC101" s="3" t="s">
        <v>2183</v>
      </c>
      <c r="AD101" s="3" t="s">
        <v>3313</v>
      </c>
      <c r="AE101" s="3" t="s">
        <v>3314</v>
      </c>
      <c r="AF101" s="3" t="s">
        <v>3315</v>
      </c>
      <c r="AG101" s="3" t="s">
        <v>1662</v>
      </c>
      <c r="AH101" s="3">
        <v>309.03019999999998</v>
      </c>
      <c r="AI101" s="3" t="s">
        <v>3316</v>
      </c>
      <c r="AJ101" s="3" t="s">
        <v>113</v>
      </c>
      <c r="AK101" s="3" t="s">
        <v>113</v>
      </c>
      <c r="AL101" s="3" t="s">
        <v>113</v>
      </c>
      <c r="AM101" s="3" t="s">
        <v>131</v>
      </c>
      <c r="AN101" s="3" t="s">
        <v>3411</v>
      </c>
      <c r="AO101" s="3" t="s">
        <v>3414</v>
      </c>
      <c r="AP101" s="7" t="s">
        <v>3317</v>
      </c>
      <c r="AQ101" s="7">
        <f t="shared" si="18"/>
        <v>0.6633</v>
      </c>
      <c r="AR101" s="3" t="s">
        <v>3318</v>
      </c>
      <c r="AS101" s="10" t="s">
        <v>3319</v>
      </c>
      <c r="AT101" s="11">
        <f t="shared" si="19"/>
        <v>0.26219999999999999</v>
      </c>
      <c r="AU101" s="3" t="s">
        <v>3320</v>
      </c>
      <c r="AV101" s="12"/>
      <c r="AW101" s="3" t="s">
        <v>3321</v>
      </c>
      <c r="AX101" s="3" t="s">
        <v>3322</v>
      </c>
      <c r="AY101" s="3" t="s">
        <v>3323</v>
      </c>
      <c r="AZ101" s="3" t="s">
        <v>1619</v>
      </c>
      <c r="BA101" s="3" t="s">
        <v>3324</v>
      </c>
      <c r="BB101" s="3" t="s">
        <v>3325</v>
      </c>
      <c r="BC101" s="3" t="s">
        <v>3326</v>
      </c>
      <c r="BD101" s="3" t="s">
        <v>2852</v>
      </c>
      <c r="BE101" s="3" t="s">
        <v>716</v>
      </c>
      <c r="BF101" s="3" t="s">
        <v>2997</v>
      </c>
      <c r="BG101" s="3" t="s">
        <v>3327</v>
      </c>
      <c r="BH101" s="3" t="s">
        <v>390</v>
      </c>
      <c r="BI101" s="3" t="s">
        <v>3328</v>
      </c>
      <c r="BJ101" s="3" t="s">
        <v>2177</v>
      </c>
      <c r="BK101" s="3" t="s">
        <v>3329</v>
      </c>
      <c r="BL101" s="3" t="s">
        <v>3330</v>
      </c>
      <c r="BM101" s="3" t="s">
        <v>3331</v>
      </c>
      <c r="BN101" s="3" t="s">
        <v>152</v>
      </c>
      <c r="BO101" s="3" t="s">
        <v>152</v>
      </c>
      <c r="BP101" s="3" t="s">
        <v>152</v>
      </c>
      <c r="BQ101" s="3">
        <v>172</v>
      </c>
      <c r="BR101" s="3">
        <v>244</v>
      </c>
      <c r="BS101" s="3">
        <v>71</v>
      </c>
      <c r="BT101" s="3">
        <v>532</v>
      </c>
      <c r="BU101" s="3">
        <v>1472</v>
      </c>
      <c r="BV101" s="3">
        <v>731</v>
      </c>
      <c r="BW101" s="3">
        <v>1126</v>
      </c>
      <c r="BX101" s="3" t="s">
        <v>153</v>
      </c>
      <c r="BY101" s="3" t="s">
        <v>153</v>
      </c>
      <c r="BZ101" s="3">
        <v>0</v>
      </c>
      <c r="CA101" s="3" t="s">
        <v>2990</v>
      </c>
      <c r="CB101" s="3" t="s">
        <v>111</v>
      </c>
      <c r="CC101" s="3" t="s">
        <v>2990</v>
      </c>
      <c r="CD101" s="3" t="s">
        <v>111</v>
      </c>
      <c r="CE101" s="3">
        <v>5022</v>
      </c>
    </row>
    <row r="102" spans="1:83" s="3" customFormat="1" x14ac:dyDescent="0.2">
      <c r="A102" s="3" t="s">
        <v>3412</v>
      </c>
      <c r="B102" s="5" t="s">
        <v>4727</v>
      </c>
      <c r="C102" s="8">
        <v>11</v>
      </c>
      <c r="D102" s="5" t="s">
        <v>4732</v>
      </c>
      <c r="E102" s="3" t="s">
        <v>3414</v>
      </c>
      <c r="F102" s="3">
        <v>17303</v>
      </c>
      <c r="G102" s="14">
        <v>44747.633333333331</v>
      </c>
      <c r="H102" s="14">
        <v>45159.74722222222</v>
      </c>
      <c r="I102" s="3" t="s">
        <v>2986</v>
      </c>
      <c r="J102" s="3" t="s">
        <v>111</v>
      </c>
      <c r="K102" s="3" t="s">
        <v>111</v>
      </c>
      <c r="L102" s="3" t="s">
        <v>111</v>
      </c>
      <c r="M102" s="3" t="s">
        <v>112</v>
      </c>
      <c r="N102" s="3" t="s">
        <v>2165</v>
      </c>
      <c r="O102" s="3" t="s">
        <v>2166</v>
      </c>
      <c r="P102" s="3">
        <v>36</v>
      </c>
      <c r="Q102" s="3" t="s">
        <v>2167</v>
      </c>
      <c r="R102" s="3" t="s">
        <v>114</v>
      </c>
      <c r="S102" s="3" t="s">
        <v>115</v>
      </c>
      <c r="T102" s="3" t="s">
        <v>116</v>
      </c>
      <c r="U102" s="3" t="s">
        <v>117</v>
      </c>
      <c r="V102" s="3" t="s">
        <v>118</v>
      </c>
      <c r="W102" s="7" t="s">
        <v>3332</v>
      </c>
      <c r="X102" s="3" t="s">
        <v>3333</v>
      </c>
      <c r="Y102" s="7" t="s">
        <v>3334</v>
      </c>
      <c r="Z102" s="3" t="s">
        <v>3335</v>
      </c>
      <c r="AA102" s="3" t="s">
        <v>3336</v>
      </c>
      <c r="AB102" s="3" t="s">
        <v>3337</v>
      </c>
      <c r="AC102" s="3" t="s">
        <v>1446</v>
      </c>
      <c r="AD102" s="3" t="s">
        <v>2922</v>
      </c>
      <c r="AE102" s="3" t="s">
        <v>3338</v>
      </c>
      <c r="AF102" s="3" t="s">
        <v>2853</v>
      </c>
      <c r="AG102" s="3" t="s">
        <v>3339</v>
      </c>
      <c r="AH102" s="3">
        <v>370.95960000000002</v>
      </c>
      <c r="AI102" s="3" t="s">
        <v>2311</v>
      </c>
      <c r="AJ102" s="3" t="s">
        <v>113</v>
      </c>
      <c r="AK102" s="3" t="s">
        <v>113</v>
      </c>
      <c r="AL102" s="3" t="s">
        <v>113</v>
      </c>
      <c r="AM102" s="3" t="s">
        <v>131</v>
      </c>
      <c r="AN102" s="3" t="s">
        <v>3412</v>
      </c>
      <c r="AO102" s="3" t="s">
        <v>3414</v>
      </c>
      <c r="AP102" s="7" t="s">
        <v>3340</v>
      </c>
      <c r="AQ102" s="7">
        <f t="shared" si="18"/>
        <v>0.7923</v>
      </c>
      <c r="AR102" s="3" t="s">
        <v>928</v>
      </c>
      <c r="AS102" s="10" t="s">
        <v>3341</v>
      </c>
      <c r="AT102" s="11">
        <f t="shared" si="19"/>
        <v>0.32240000000000002</v>
      </c>
      <c r="AU102" s="3" t="s">
        <v>3342</v>
      </c>
      <c r="AV102" s="12"/>
      <c r="AW102" s="3" t="s">
        <v>3343</v>
      </c>
      <c r="AX102" s="3" t="s">
        <v>3344</v>
      </c>
      <c r="AY102" s="3" t="s">
        <v>1578</v>
      </c>
      <c r="AZ102" s="3" t="s">
        <v>3345</v>
      </c>
      <c r="BA102" s="3" t="s">
        <v>3346</v>
      </c>
      <c r="BB102" s="3" t="s">
        <v>1333</v>
      </c>
      <c r="BC102" s="3" t="s">
        <v>558</v>
      </c>
      <c r="BD102" s="3" t="s">
        <v>2240</v>
      </c>
      <c r="BE102" s="3" t="s">
        <v>3347</v>
      </c>
      <c r="BF102" s="3" t="s">
        <v>3348</v>
      </c>
      <c r="BG102" s="3" t="s">
        <v>3349</v>
      </c>
      <c r="BH102" s="3" t="s">
        <v>1929</v>
      </c>
      <c r="BI102" s="3" t="s">
        <v>3350</v>
      </c>
      <c r="BJ102" s="3" t="s">
        <v>2077</v>
      </c>
      <c r="BK102" s="3" t="s">
        <v>3351</v>
      </c>
      <c r="BL102" s="3" t="s">
        <v>3352</v>
      </c>
      <c r="BM102" s="3" t="s">
        <v>143</v>
      </c>
      <c r="BN102" s="3" t="s">
        <v>152</v>
      </c>
      <c r="BO102" s="3" t="s">
        <v>152</v>
      </c>
      <c r="BP102" s="3" t="s">
        <v>152</v>
      </c>
      <c r="BQ102" s="3">
        <v>212</v>
      </c>
      <c r="BR102" s="3">
        <v>200</v>
      </c>
      <c r="BS102" s="3">
        <v>90</v>
      </c>
      <c r="BT102" s="3">
        <v>166</v>
      </c>
      <c r="BU102" s="3">
        <v>1263</v>
      </c>
      <c r="BV102" s="3">
        <v>420</v>
      </c>
      <c r="BW102" s="3">
        <v>1126</v>
      </c>
      <c r="BX102" s="3" t="s">
        <v>153</v>
      </c>
      <c r="BY102" s="3" t="s">
        <v>153</v>
      </c>
      <c r="BZ102" s="3">
        <v>0</v>
      </c>
      <c r="CA102" s="3" t="s">
        <v>2990</v>
      </c>
      <c r="CB102" s="3" t="s">
        <v>111</v>
      </c>
      <c r="CC102" s="3" t="s">
        <v>2990</v>
      </c>
      <c r="CD102" s="3" t="s">
        <v>111</v>
      </c>
      <c r="CE102" s="3">
        <v>5022</v>
      </c>
    </row>
    <row r="105" spans="1:83" s="3" customFormat="1" x14ac:dyDescent="0.2">
      <c r="A105" s="3" t="s">
        <v>3395</v>
      </c>
      <c r="B105" s="5" t="s">
        <v>4726</v>
      </c>
      <c r="C105" s="8">
        <v>11</v>
      </c>
      <c r="D105" s="5" t="s">
        <v>4733</v>
      </c>
      <c r="E105" s="3" t="s">
        <v>3414</v>
      </c>
      <c r="F105" s="3">
        <v>17301</v>
      </c>
      <c r="G105" s="14">
        <v>44747.459027777775</v>
      </c>
      <c r="H105" s="14">
        <v>45156.602083333331</v>
      </c>
      <c r="I105" s="3" t="s">
        <v>2164</v>
      </c>
      <c r="J105" s="3" t="s">
        <v>111</v>
      </c>
      <c r="K105" s="3" t="s">
        <v>111</v>
      </c>
      <c r="L105" s="3" t="s">
        <v>111</v>
      </c>
      <c r="M105" s="3" t="s">
        <v>112</v>
      </c>
      <c r="N105" s="3" t="s">
        <v>2165</v>
      </c>
      <c r="O105" s="3" t="s">
        <v>2166</v>
      </c>
      <c r="P105" s="3">
        <v>36</v>
      </c>
      <c r="Q105" s="3" t="s">
        <v>2167</v>
      </c>
      <c r="R105" s="3" t="s">
        <v>114</v>
      </c>
      <c r="S105" s="3" t="s">
        <v>115</v>
      </c>
      <c r="T105" s="3" t="s">
        <v>116</v>
      </c>
      <c r="U105" s="3" t="s">
        <v>117</v>
      </c>
      <c r="V105" s="3" t="s">
        <v>118</v>
      </c>
      <c r="W105" s="7" t="s">
        <v>2550</v>
      </c>
      <c r="X105" s="3" t="s">
        <v>2529</v>
      </c>
      <c r="Y105" s="7" t="s">
        <v>2551</v>
      </c>
      <c r="Z105" s="3" t="s">
        <v>2552</v>
      </c>
      <c r="AA105" s="3" t="s">
        <v>2553</v>
      </c>
      <c r="AB105" s="3" t="s">
        <v>2554</v>
      </c>
      <c r="AC105" s="3" t="s">
        <v>932</v>
      </c>
      <c r="AD105" s="3" t="s">
        <v>2555</v>
      </c>
      <c r="AE105" s="3" t="s">
        <v>2556</v>
      </c>
      <c r="AF105" s="3" t="s">
        <v>848</v>
      </c>
      <c r="AG105" s="3" t="s">
        <v>2188</v>
      </c>
      <c r="AH105" s="3">
        <v>259.9665</v>
      </c>
      <c r="AI105" s="3" t="s">
        <v>2557</v>
      </c>
      <c r="AJ105" s="3" t="s">
        <v>113</v>
      </c>
      <c r="AK105" s="3" t="s">
        <v>113</v>
      </c>
      <c r="AL105" s="3" t="s">
        <v>113</v>
      </c>
      <c r="AM105" s="3" t="s">
        <v>131</v>
      </c>
      <c r="AN105" s="3" t="s">
        <v>3395</v>
      </c>
      <c r="AO105" s="3" t="s">
        <v>3414</v>
      </c>
      <c r="AP105" s="7" t="s">
        <v>2558</v>
      </c>
      <c r="AQ105" s="7">
        <f t="shared" ref="AQ105:AQ110" si="20">VALUE(AP105)</f>
        <v>0.6764</v>
      </c>
      <c r="AR105" s="3" t="s">
        <v>844</v>
      </c>
      <c r="AS105" s="10" t="s">
        <v>1929</v>
      </c>
      <c r="AT105" s="11">
        <f t="shared" ref="AT105:AT110" si="21">VALUE(AS105)</f>
        <v>0.1991</v>
      </c>
      <c r="AU105" s="3" t="s">
        <v>2559</v>
      </c>
      <c r="AV105" s="12"/>
      <c r="AW105" s="3" t="s">
        <v>2560</v>
      </c>
      <c r="AX105" s="3" t="s">
        <v>2561</v>
      </c>
      <c r="AY105" s="3" t="s">
        <v>2562</v>
      </c>
      <c r="AZ105" s="3" t="s">
        <v>2563</v>
      </c>
      <c r="BA105" s="3" t="s">
        <v>2564</v>
      </c>
      <c r="BB105" s="3" t="s">
        <v>1548</v>
      </c>
      <c r="BC105" s="3" t="s">
        <v>2565</v>
      </c>
      <c r="BD105" s="3" t="s">
        <v>2139</v>
      </c>
      <c r="BE105" s="3" t="s">
        <v>2566</v>
      </c>
      <c r="BF105" s="3" t="s">
        <v>2567</v>
      </c>
      <c r="BG105" s="3" t="s">
        <v>2568</v>
      </c>
      <c r="BH105" s="3" t="s">
        <v>2569</v>
      </c>
      <c r="BI105" s="3" t="s">
        <v>2570</v>
      </c>
      <c r="BJ105" s="3" t="s">
        <v>2571</v>
      </c>
      <c r="BK105" s="3" t="s">
        <v>2572</v>
      </c>
      <c r="BL105" s="3" t="s">
        <v>2573</v>
      </c>
      <c r="BM105" s="3" t="s">
        <v>2170</v>
      </c>
      <c r="BN105" s="3" t="s">
        <v>152</v>
      </c>
      <c r="BO105" s="3" t="s">
        <v>152</v>
      </c>
      <c r="BP105" s="3" t="s">
        <v>152</v>
      </c>
      <c r="BQ105" s="3">
        <v>184</v>
      </c>
      <c r="BR105" s="3">
        <v>180</v>
      </c>
      <c r="BS105" s="3">
        <v>95</v>
      </c>
      <c r="BT105" s="3">
        <v>556</v>
      </c>
      <c r="BU105" s="3">
        <v>1635</v>
      </c>
      <c r="BV105" s="3">
        <v>805</v>
      </c>
      <c r="BW105" s="3">
        <v>1126</v>
      </c>
      <c r="BX105" s="3" t="s">
        <v>153</v>
      </c>
      <c r="BY105" s="3" t="s">
        <v>153</v>
      </c>
      <c r="BZ105" s="3">
        <v>0</v>
      </c>
      <c r="CA105" s="3" t="s">
        <v>2171</v>
      </c>
      <c r="CB105" s="3" t="s">
        <v>111</v>
      </c>
      <c r="CC105" s="3" t="s">
        <v>2171</v>
      </c>
      <c r="CD105" s="3" t="s">
        <v>111</v>
      </c>
      <c r="CE105" s="3">
        <v>5022</v>
      </c>
    </row>
    <row r="106" spans="1:83" s="3" customFormat="1" x14ac:dyDescent="0.2">
      <c r="A106" s="3" t="s">
        <v>3396</v>
      </c>
      <c r="B106" s="5" t="s">
        <v>4726</v>
      </c>
      <c r="C106" s="8">
        <v>11</v>
      </c>
      <c r="D106" s="5" t="s">
        <v>4733</v>
      </c>
      <c r="E106" s="3" t="s">
        <v>3414</v>
      </c>
      <c r="F106" s="3">
        <v>17301</v>
      </c>
      <c r="G106" s="14">
        <v>44747.459027777775</v>
      </c>
      <c r="H106" s="14">
        <v>45156.618750000001</v>
      </c>
      <c r="I106" s="3" t="s">
        <v>2164</v>
      </c>
      <c r="J106" s="3" t="s">
        <v>111</v>
      </c>
      <c r="K106" s="3" t="s">
        <v>111</v>
      </c>
      <c r="L106" s="3" t="s">
        <v>111</v>
      </c>
      <c r="M106" s="3" t="s">
        <v>112</v>
      </c>
      <c r="N106" s="3" t="s">
        <v>2165</v>
      </c>
      <c r="O106" s="3" t="s">
        <v>2166</v>
      </c>
      <c r="P106" s="3">
        <v>36</v>
      </c>
      <c r="Q106" s="3" t="s">
        <v>2167</v>
      </c>
      <c r="R106" s="3" t="s">
        <v>114</v>
      </c>
      <c r="S106" s="3" t="s">
        <v>115</v>
      </c>
      <c r="T106" s="3" t="s">
        <v>116</v>
      </c>
      <c r="U106" s="3" t="s">
        <v>117</v>
      </c>
      <c r="V106" s="3" t="s">
        <v>118</v>
      </c>
      <c r="W106" s="7" t="s">
        <v>2574</v>
      </c>
      <c r="X106" s="3" t="s">
        <v>2575</v>
      </c>
      <c r="Y106" s="7" t="s">
        <v>300</v>
      </c>
      <c r="Z106" s="3" t="s">
        <v>2576</v>
      </c>
      <c r="AA106" s="3" t="s">
        <v>2577</v>
      </c>
      <c r="AB106" s="3" t="s">
        <v>2578</v>
      </c>
      <c r="AC106" s="3" t="s">
        <v>2579</v>
      </c>
      <c r="AD106" s="3" t="s">
        <v>2580</v>
      </c>
      <c r="AE106" s="3" t="s">
        <v>121</v>
      </c>
      <c r="AF106" s="3" t="s">
        <v>1205</v>
      </c>
      <c r="AG106" s="3" t="s">
        <v>392</v>
      </c>
      <c r="AH106" s="3">
        <v>245.93790000000001</v>
      </c>
      <c r="AI106" s="3" t="s">
        <v>2581</v>
      </c>
      <c r="AJ106" s="3" t="s">
        <v>113</v>
      </c>
      <c r="AK106" s="3" t="s">
        <v>113</v>
      </c>
      <c r="AL106" s="3" t="s">
        <v>113</v>
      </c>
      <c r="AM106" s="3" t="s">
        <v>131</v>
      </c>
      <c r="AN106" s="3" t="s">
        <v>3396</v>
      </c>
      <c r="AO106" s="3" t="s">
        <v>3414</v>
      </c>
      <c r="AP106" s="7" t="s">
        <v>2582</v>
      </c>
      <c r="AQ106" s="7">
        <f t="shared" si="20"/>
        <v>0.57530000000000003</v>
      </c>
      <c r="AR106" s="3" t="s">
        <v>2573</v>
      </c>
      <c r="AS106" s="10" t="s">
        <v>343</v>
      </c>
      <c r="AT106" s="11">
        <f t="shared" si="21"/>
        <v>0.17380000000000001</v>
      </c>
      <c r="AU106" s="3" t="s">
        <v>2583</v>
      </c>
      <c r="AV106" s="12"/>
      <c r="AW106" s="3" t="s">
        <v>2584</v>
      </c>
      <c r="AX106" s="3" t="s">
        <v>2585</v>
      </c>
      <c r="AY106" s="3" t="s">
        <v>2586</v>
      </c>
      <c r="AZ106" s="3" t="s">
        <v>384</v>
      </c>
      <c r="BA106" s="3" t="s">
        <v>2587</v>
      </c>
      <c r="BB106" s="3" t="s">
        <v>576</v>
      </c>
      <c r="BC106" s="3" t="s">
        <v>2588</v>
      </c>
      <c r="BD106" s="3" t="s">
        <v>2157</v>
      </c>
      <c r="BE106" s="3" t="s">
        <v>2503</v>
      </c>
      <c r="BF106" s="3" t="s">
        <v>2036</v>
      </c>
      <c r="BG106" s="3" t="s">
        <v>2186</v>
      </c>
      <c r="BH106" s="3" t="s">
        <v>2589</v>
      </c>
      <c r="BI106" s="3" t="s">
        <v>922</v>
      </c>
      <c r="BJ106" s="3" t="s">
        <v>921</v>
      </c>
      <c r="BK106" s="3" t="s">
        <v>2590</v>
      </c>
      <c r="BL106" s="3" t="s">
        <v>740</v>
      </c>
      <c r="BM106" s="3" t="s">
        <v>2140</v>
      </c>
      <c r="BN106" s="3" t="s">
        <v>152</v>
      </c>
      <c r="BO106" s="3" t="s">
        <v>152</v>
      </c>
      <c r="BP106" s="3" t="s">
        <v>152</v>
      </c>
      <c r="BQ106" s="3">
        <v>216</v>
      </c>
      <c r="BR106" s="3">
        <v>184</v>
      </c>
      <c r="BS106" s="3">
        <v>71</v>
      </c>
      <c r="BT106" s="3">
        <v>174</v>
      </c>
      <c r="BU106" s="3">
        <v>1384</v>
      </c>
      <c r="BV106" s="3">
        <v>241</v>
      </c>
      <c r="BW106" s="3">
        <v>1126</v>
      </c>
      <c r="BX106" s="3" t="s">
        <v>153</v>
      </c>
      <c r="BY106" s="3" t="s">
        <v>153</v>
      </c>
      <c r="BZ106" s="3">
        <v>0</v>
      </c>
      <c r="CA106" s="3" t="s">
        <v>2171</v>
      </c>
      <c r="CB106" s="3" t="s">
        <v>111</v>
      </c>
      <c r="CC106" s="3" t="s">
        <v>2171</v>
      </c>
      <c r="CD106" s="3" t="s">
        <v>111</v>
      </c>
      <c r="CE106" s="3">
        <v>5022</v>
      </c>
    </row>
    <row r="107" spans="1:83" s="3" customFormat="1" x14ac:dyDescent="0.2">
      <c r="A107" s="3" t="s">
        <v>3397</v>
      </c>
      <c r="B107" s="5" t="s">
        <v>4726</v>
      </c>
      <c r="C107" s="8">
        <v>11</v>
      </c>
      <c r="D107" s="5" t="s">
        <v>4733</v>
      </c>
      <c r="E107" s="3" t="s">
        <v>3414</v>
      </c>
      <c r="F107" s="3">
        <v>17302</v>
      </c>
      <c r="G107" s="14">
        <v>44747.53125</v>
      </c>
      <c r="H107" s="14">
        <v>45159.495138888888</v>
      </c>
      <c r="I107" s="3" t="s">
        <v>2591</v>
      </c>
      <c r="J107" s="3" t="s">
        <v>111</v>
      </c>
      <c r="K107" s="3" t="s">
        <v>111</v>
      </c>
      <c r="L107" s="3" t="s">
        <v>111</v>
      </c>
      <c r="M107" s="3" t="s">
        <v>112</v>
      </c>
      <c r="N107" s="3" t="s">
        <v>2165</v>
      </c>
      <c r="O107" s="3" t="s">
        <v>2166</v>
      </c>
      <c r="P107" s="3">
        <v>36</v>
      </c>
      <c r="Q107" s="3" t="s">
        <v>2167</v>
      </c>
      <c r="R107" s="3" t="s">
        <v>114</v>
      </c>
      <c r="S107" s="3" t="s">
        <v>115</v>
      </c>
      <c r="T107" s="3" t="s">
        <v>116</v>
      </c>
      <c r="U107" s="3" t="s">
        <v>117</v>
      </c>
      <c r="V107" s="3" t="s">
        <v>118</v>
      </c>
      <c r="W107" s="7" t="s">
        <v>2798</v>
      </c>
      <c r="X107" s="3" t="s">
        <v>2799</v>
      </c>
      <c r="Y107" s="7" t="s">
        <v>2800</v>
      </c>
      <c r="Z107" s="3" t="s">
        <v>2801</v>
      </c>
      <c r="AA107" s="3" t="s">
        <v>2802</v>
      </c>
      <c r="AB107" s="3" t="s">
        <v>2803</v>
      </c>
      <c r="AC107" s="3" t="s">
        <v>2804</v>
      </c>
      <c r="AD107" s="3" t="s">
        <v>2805</v>
      </c>
      <c r="AE107" s="3" t="s">
        <v>2806</v>
      </c>
      <c r="AF107" s="3" t="s">
        <v>2735</v>
      </c>
      <c r="AG107" s="3" t="s">
        <v>683</v>
      </c>
      <c r="AH107" s="3">
        <v>276.39370000000002</v>
      </c>
      <c r="AI107" s="3" t="s">
        <v>2807</v>
      </c>
      <c r="AJ107" s="3" t="s">
        <v>113</v>
      </c>
      <c r="AK107" s="3" t="s">
        <v>113</v>
      </c>
      <c r="AL107" s="3" t="s">
        <v>113</v>
      </c>
      <c r="AM107" s="3" t="s">
        <v>131</v>
      </c>
      <c r="AN107" s="3" t="s">
        <v>3397</v>
      </c>
      <c r="AO107" s="3" t="s">
        <v>3414</v>
      </c>
      <c r="AP107" s="7" t="s">
        <v>1468</v>
      </c>
      <c r="AQ107" s="7">
        <f t="shared" si="20"/>
        <v>0.62690000000000001</v>
      </c>
      <c r="AR107" s="3" t="s">
        <v>2808</v>
      </c>
      <c r="AS107" s="10" t="s">
        <v>307</v>
      </c>
      <c r="AT107" s="11">
        <f t="shared" si="21"/>
        <v>0.184</v>
      </c>
      <c r="AU107" s="3" t="s">
        <v>2809</v>
      </c>
      <c r="AV107" s="12"/>
      <c r="AW107" s="3" t="s">
        <v>2810</v>
      </c>
      <c r="AX107" s="3" t="s">
        <v>2811</v>
      </c>
      <c r="AY107" s="3" t="s">
        <v>492</v>
      </c>
      <c r="AZ107" s="3" t="s">
        <v>2812</v>
      </c>
      <c r="BA107" s="3" t="s">
        <v>2813</v>
      </c>
      <c r="BB107" s="3" t="s">
        <v>978</v>
      </c>
      <c r="BC107" s="3" t="s">
        <v>2814</v>
      </c>
      <c r="BD107" s="3" t="s">
        <v>2815</v>
      </c>
      <c r="BE107" s="3" t="s">
        <v>2816</v>
      </c>
      <c r="BF107" s="3" t="s">
        <v>2817</v>
      </c>
      <c r="BG107" s="3" t="s">
        <v>2818</v>
      </c>
      <c r="BH107" s="3" t="s">
        <v>1677</v>
      </c>
      <c r="BI107" s="3" t="s">
        <v>2819</v>
      </c>
      <c r="BJ107" s="3" t="s">
        <v>1646</v>
      </c>
      <c r="BK107" s="3" t="s">
        <v>2298</v>
      </c>
      <c r="BL107" s="3" t="s">
        <v>1306</v>
      </c>
      <c r="BM107" s="3" t="s">
        <v>2820</v>
      </c>
      <c r="BN107" s="3" t="s">
        <v>152</v>
      </c>
      <c r="BO107" s="3" t="s">
        <v>152</v>
      </c>
      <c r="BP107" s="3" t="s">
        <v>152</v>
      </c>
      <c r="BQ107" s="3">
        <v>168</v>
      </c>
      <c r="BR107" s="3">
        <v>212</v>
      </c>
      <c r="BS107" s="3">
        <v>88</v>
      </c>
      <c r="BT107" s="3">
        <v>94</v>
      </c>
      <c r="BU107" s="3">
        <v>650</v>
      </c>
      <c r="BV107" s="3">
        <v>1181</v>
      </c>
      <c r="BW107" s="3">
        <v>1685</v>
      </c>
      <c r="BX107" s="3" t="s">
        <v>153</v>
      </c>
      <c r="BY107" s="3" t="s">
        <v>153</v>
      </c>
      <c r="BZ107" s="3">
        <v>0</v>
      </c>
      <c r="CA107" s="3" t="s">
        <v>2593</v>
      </c>
      <c r="CB107" s="3" t="s">
        <v>111</v>
      </c>
      <c r="CC107" s="3" t="s">
        <v>2593</v>
      </c>
      <c r="CD107" s="3" t="s">
        <v>111</v>
      </c>
      <c r="CE107" s="3">
        <v>5022</v>
      </c>
    </row>
    <row r="108" spans="1:83" s="3" customFormat="1" x14ac:dyDescent="0.2">
      <c r="A108" s="3" t="s">
        <v>3398</v>
      </c>
      <c r="B108" s="5" t="s">
        <v>4727</v>
      </c>
      <c r="C108" s="8">
        <v>11</v>
      </c>
      <c r="D108" s="5" t="s">
        <v>4733</v>
      </c>
      <c r="E108" s="3" t="s">
        <v>3414</v>
      </c>
      <c r="F108" s="3">
        <v>17302</v>
      </c>
      <c r="G108" s="14">
        <v>44747.53125</v>
      </c>
      <c r="H108" s="14">
        <v>45159.498611111114</v>
      </c>
      <c r="I108" s="3" t="s">
        <v>2591</v>
      </c>
      <c r="J108" s="3" t="s">
        <v>111</v>
      </c>
      <c r="K108" s="3" t="s">
        <v>111</v>
      </c>
      <c r="L108" s="3" t="s">
        <v>111</v>
      </c>
      <c r="M108" s="3" t="s">
        <v>112</v>
      </c>
      <c r="N108" s="3" t="s">
        <v>2165</v>
      </c>
      <c r="O108" s="3" t="s">
        <v>2166</v>
      </c>
      <c r="P108" s="3">
        <v>36</v>
      </c>
      <c r="Q108" s="3" t="s">
        <v>2167</v>
      </c>
      <c r="R108" s="3" t="s">
        <v>114</v>
      </c>
      <c r="S108" s="3" t="s">
        <v>115</v>
      </c>
      <c r="T108" s="3" t="s">
        <v>116</v>
      </c>
      <c r="U108" s="3" t="s">
        <v>117</v>
      </c>
      <c r="V108" s="3" t="s">
        <v>118</v>
      </c>
      <c r="W108" s="7" t="s">
        <v>2821</v>
      </c>
      <c r="X108" s="3" t="s">
        <v>2822</v>
      </c>
      <c r="Y108" s="7" t="s">
        <v>2823</v>
      </c>
      <c r="Z108" s="3" t="s">
        <v>2824</v>
      </c>
      <c r="AA108" s="3" t="s">
        <v>2825</v>
      </c>
      <c r="AB108" s="3" t="s">
        <v>2826</v>
      </c>
      <c r="AC108" s="3" t="s">
        <v>2827</v>
      </c>
      <c r="AD108" s="3" t="s">
        <v>2828</v>
      </c>
      <c r="AE108" s="3" t="s">
        <v>1318</v>
      </c>
      <c r="AF108" s="3" t="s">
        <v>2829</v>
      </c>
      <c r="AG108" s="3" t="s">
        <v>2830</v>
      </c>
      <c r="AH108" s="3">
        <v>371.75909999999999</v>
      </c>
      <c r="AI108" s="3" t="s">
        <v>2831</v>
      </c>
      <c r="AJ108" s="3" t="s">
        <v>113</v>
      </c>
      <c r="AK108" s="3" t="s">
        <v>113</v>
      </c>
      <c r="AL108" s="3" t="s">
        <v>113</v>
      </c>
      <c r="AM108" s="3" t="s">
        <v>131</v>
      </c>
      <c r="AN108" s="3" t="s">
        <v>3398</v>
      </c>
      <c r="AO108" s="3" t="s">
        <v>3414</v>
      </c>
      <c r="AP108" s="7" t="s">
        <v>2832</v>
      </c>
      <c r="AQ108" s="7">
        <f t="shared" si="20"/>
        <v>0.78410000000000002</v>
      </c>
      <c r="AR108" s="3" t="s">
        <v>2833</v>
      </c>
      <c r="AS108" s="10" t="s">
        <v>2834</v>
      </c>
      <c r="AT108" s="11">
        <f t="shared" si="21"/>
        <v>0.32740000000000002</v>
      </c>
      <c r="AU108" s="3" t="s">
        <v>2835</v>
      </c>
      <c r="AV108" s="12"/>
      <c r="AW108" s="3" t="s">
        <v>2836</v>
      </c>
      <c r="AX108" s="3" t="s">
        <v>2837</v>
      </c>
      <c r="AY108" s="3" t="s">
        <v>1174</v>
      </c>
      <c r="AZ108" s="3" t="s">
        <v>2838</v>
      </c>
      <c r="BA108" s="3" t="s">
        <v>2564</v>
      </c>
      <c r="BB108" s="3" t="s">
        <v>1743</v>
      </c>
      <c r="BC108" s="3" t="s">
        <v>2193</v>
      </c>
      <c r="BD108" s="3" t="s">
        <v>2839</v>
      </c>
      <c r="BE108" s="3" t="s">
        <v>1533</v>
      </c>
      <c r="BF108" s="3" t="s">
        <v>2840</v>
      </c>
      <c r="BG108" s="3" t="s">
        <v>2841</v>
      </c>
      <c r="BH108" s="3" t="s">
        <v>2842</v>
      </c>
      <c r="BI108" s="3" t="s">
        <v>2843</v>
      </c>
      <c r="BJ108" s="3" t="s">
        <v>518</v>
      </c>
      <c r="BK108" s="3" t="s">
        <v>2844</v>
      </c>
      <c r="BL108" s="3" t="s">
        <v>2845</v>
      </c>
      <c r="BM108" s="3" t="s">
        <v>2846</v>
      </c>
      <c r="BN108" s="3" t="s">
        <v>152</v>
      </c>
      <c r="BO108" s="3" t="s">
        <v>152</v>
      </c>
      <c r="BP108" s="3" t="s">
        <v>152</v>
      </c>
      <c r="BQ108" s="3">
        <v>260</v>
      </c>
      <c r="BR108" s="3">
        <v>188</v>
      </c>
      <c r="BS108" s="3">
        <v>89</v>
      </c>
      <c r="BT108" s="3">
        <v>460</v>
      </c>
      <c r="BU108" s="3">
        <v>303</v>
      </c>
      <c r="BV108" s="3">
        <v>961</v>
      </c>
      <c r="BW108" s="3">
        <v>1685</v>
      </c>
      <c r="BX108" s="3" t="s">
        <v>153</v>
      </c>
      <c r="BY108" s="3" t="s">
        <v>153</v>
      </c>
      <c r="BZ108" s="3">
        <v>0</v>
      </c>
      <c r="CA108" s="3" t="s">
        <v>2593</v>
      </c>
      <c r="CB108" s="3" t="s">
        <v>111</v>
      </c>
      <c r="CC108" s="3" t="s">
        <v>2593</v>
      </c>
      <c r="CD108" s="3" t="s">
        <v>111</v>
      </c>
      <c r="CE108" s="3">
        <v>5022</v>
      </c>
    </row>
    <row r="109" spans="1:83" s="3" customFormat="1" x14ac:dyDescent="0.2">
      <c r="A109" s="3" t="s">
        <v>3399</v>
      </c>
      <c r="B109" s="5" t="s">
        <v>4727</v>
      </c>
      <c r="C109" s="8">
        <v>11</v>
      </c>
      <c r="D109" s="5" t="s">
        <v>4733</v>
      </c>
      <c r="E109" s="3" t="s">
        <v>3414</v>
      </c>
      <c r="F109" s="3">
        <v>17302</v>
      </c>
      <c r="G109" s="14">
        <v>44747.53125</v>
      </c>
      <c r="H109" s="14">
        <v>45159.502083333333</v>
      </c>
      <c r="I109" s="3" t="s">
        <v>2591</v>
      </c>
      <c r="J109" s="3" t="s">
        <v>111</v>
      </c>
      <c r="K109" s="3" t="s">
        <v>111</v>
      </c>
      <c r="L109" s="3" t="s">
        <v>111</v>
      </c>
      <c r="M109" s="3" t="s">
        <v>112</v>
      </c>
      <c r="N109" s="3" t="s">
        <v>2165</v>
      </c>
      <c r="O109" s="3" t="s">
        <v>2166</v>
      </c>
      <c r="P109" s="3">
        <v>36</v>
      </c>
      <c r="Q109" s="3" t="s">
        <v>2167</v>
      </c>
      <c r="R109" s="3" t="s">
        <v>114</v>
      </c>
      <c r="S109" s="3" t="s">
        <v>115</v>
      </c>
      <c r="T109" s="3" t="s">
        <v>116</v>
      </c>
      <c r="U109" s="3" t="s">
        <v>117</v>
      </c>
      <c r="V109" s="3" t="s">
        <v>118</v>
      </c>
      <c r="W109" s="7" t="s">
        <v>2847</v>
      </c>
      <c r="X109" s="3" t="s">
        <v>415</v>
      </c>
      <c r="Y109" s="7" t="s">
        <v>2848</v>
      </c>
      <c r="Z109" s="3" t="s">
        <v>2849</v>
      </c>
      <c r="AA109" s="3" t="s">
        <v>2850</v>
      </c>
      <c r="AB109" s="3" t="s">
        <v>2851</v>
      </c>
      <c r="AC109" s="3" t="s">
        <v>1288</v>
      </c>
      <c r="AD109" s="3" t="s">
        <v>2852</v>
      </c>
      <c r="AE109" s="3" t="s">
        <v>2092</v>
      </c>
      <c r="AF109" s="3" t="s">
        <v>2853</v>
      </c>
      <c r="AG109" s="3" t="s">
        <v>2854</v>
      </c>
      <c r="AH109" s="3">
        <v>324.58530000000002</v>
      </c>
      <c r="AI109" s="3" t="s">
        <v>2855</v>
      </c>
      <c r="AJ109" s="3" t="s">
        <v>113</v>
      </c>
      <c r="AK109" s="3" t="s">
        <v>113</v>
      </c>
      <c r="AL109" s="3" t="s">
        <v>113</v>
      </c>
      <c r="AM109" s="3" t="s">
        <v>131</v>
      </c>
      <c r="AN109" s="3" t="s">
        <v>3399</v>
      </c>
      <c r="AO109" s="3" t="s">
        <v>3414</v>
      </c>
      <c r="AP109" s="7" t="s">
        <v>2856</v>
      </c>
      <c r="AQ109" s="7">
        <f t="shared" si="20"/>
        <v>0.75060000000000004</v>
      </c>
      <c r="AR109" s="3" t="s">
        <v>2857</v>
      </c>
      <c r="AS109" s="10" t="s">
        <v>2267</v>
      </c>
      <c r="AT109" s="11">
        <f t="shared" si="21"/>
        <v>0.27</v>
      </c>
      <c r="AU109" s="3" t="s">
        <v>2858</v>
      </c>
      <c r="AV109" s="12"/>
      <c r="AW109" s="3" t="s">
        <v>2859</v>
      </c>
      <c r="AX109" s="3" t="s">
        <v>2860</v>
      </c>
      <c r="AY109" s="3" t="s">
        <v>1184</v>
      </c>
      <c r="AZ109" s="3" t="s">
        <v>2191</v>
      </c>
      <c r="BA109" s="3" t="s">
        <v>2861</v>
      </c>
      <c r="BB109" s="3" t="s">
        <v>343</v>
      </c>
      <c r="BC109" s="3" t="s">
        <v>2862</v>
      </c>
      <c r="BD109" s="3" t="s">
        <v>1959</v>
      </c>
      <c r="BE109" s="3" t="s">
        <v>427</v>
      </c>
      <c r="BF109" s="3" t="s">
        <v>797</v>
      </c>
      <c r="BG109" s="3" t="s">
        <v>2863</v>
      </c>
      <c r="BH109" s="3" t="s">
        <v>2864</v>
      </c>
      <c r="BI109" s="3" t="s">
        <v>2865</v>
      </c>
      <c r="BJ109" s="3" t="s">
        <v>2866</v>
      </c>
      <c r="BK109" s="3" t="s">
        <v>2867</v>
      </c>
      <c r="BL109" s="3" t="s">
        <v>1781</v>
      </c>
      <c r="BM109" s="3" t="s">
        <v>1454</v>
      </c>
      <c r="BN109" s="3" t="s">
        <v>152</v>
      </c>
      <c r="BO109" s="3" t="s">
        <v>152</v>
      </c>
      <c r="BP109" s="3" t="s">
        <v>152</v>
      </c>
      <c r="BQ109" s="3">
        <v>196</v>
      </c>
      <c r="BR109" s="3">
        <v>220</v>
      </c>
      <c r="BS109" s="3">
        <v>100</v>
      </c>
      <c r="BT109" s="3">
        <v>1234</v>
      </c>
      <c r="BU109" s="3">
        <v>362</v>
      </c>
      <c r="BV109" s="3">
        <v>1080</v>
      </c>
      <c r="BW109" s="3">
        <v>1685</v>
      </c>
      <c r="BX109" s="3" t="s">
        <v>153</v>
      </c>
      <c r="BY109" s="3" t="s">
        <v>153</v>
      </c>
      <c r="BZ109" s="3">
        <v>0</v>
      </c>
      <c r="CA109" s="3" t="s">
        <v>2593</v>
      </c>
      <c r="CB109" s="3" t="s">
        <v>111</v>
      </c>
      <c r="CC109" s="3" t="s">
        <v>2593</v>
      </c>
      <c r="CD109" s="3" t="s">
        <v>111</v>
      </c>
      <c r="CE109" s="3">
        <v>5022</v>
      </c>
    </row>
    <row r="110" spans="1:83" s="3" customFormat="1" x14ac:dyDescent="0.2">
      <c r="A110" s="3" t="s">
        <v>3400</v>
      </c>
      <c r="B110" s="5" t="s">
        <v>4727</v>
      </c>
      <c r="C110" s="8">
        <v>11</v>
      </c>
      <c r="D110" s="5" t="s">
        <v>4733</v>
      </c>
      <c r="E110" s="3" t="s">
        <v>3414</v>
      </c>
      <c r="F110" s="3">
        <v>17302</v>
      </c>
      <c r="G110" s="14">
        <v>44747.53125</v>
      </c>
      <c r="H110" s="14">
        <v>45159.505555555559</v>
      </c>
      <c r="I110" s="3" t="s">
        <v>2591</v>
      </c>
      <c r="J110" s="3" t="s">
        <v>111</v>
      </c>
      <c r="K110" s="3" t="s">
        <v>111</v>
      </c>
      <c r="L110" s="3" t="s">
        <v>111</v>
      </c>
      <c r="M110" s="3" t="s">
        <v>112</v>
      </c>
      <c r="N110" s="3" t="s">
        <v>2165</v>
      </c>
      <c r="O110" s="3" t="s">
        <v>2166</v>
      </c>
      <c r="P110" s="3">
        <v>36</v>
      </c>
      <c r="Q110" s="3" t="s">
        <v>2167</v>
      </c>
      <c r="R110" s="3" t="s">
        <v>114</v>
      </c>
      <c r="S110" s="3" t="s">
        <v>115</v>
      </c>
      <c r="T110" s="3" t="s">
        <v>116</v>
      </c>
      <c r="U110" s="3" t="s">
        <v>117</v>
      </c>
      <c r="V110" s="3" t="s">
        <v>118</v>
      </c>
      <c r="W110" s="7" t="s">
        <v>2868</v>
      </c>
      <c r="X110" s="3" t="s">
        <v>2757</v>
      </c>
      <c r="Y110" s="7" t="s">
        <v>2869</v>
      </c>
      <c r="Z110" s="3" t="s">
        <v>2870</v>
      </c>
      <c r="AA110" s="3" t="s">
        <v>2871</v>
      </c>
      <c r="AB110" s="3" t="s">
        <v>2872</v>
      </c>
      <c r="AC110" s="3" t="s">
        <v>2065</v>
      </c>
      <c r="AD110" s="3" t="s">
        <v>639</v>
      </c>
      <c r="AE110" s="3" t="s">
        <v>2873</v>
      </c>
      <c r="AF110" s="3" t="s">
        <v>2178</v>
      </c>
      <c r="AG110" s="3" t="s">
        <v>2874</v>
      </c>
      <c r="AH110" s="3">
        <v>373.14019999999999</v>
      </c>
      <c r="AI110" s="3" t="s">
        <v>2875</v>
      </c>
      <c r="AJ110" s="3" t="s">
        <v>113</v>
      </c>
      <c r="AK110" s="3" t="s">
        <v>113</v>
      </c>
      <c r="AL110" s="3" t="s">
        <v>113</v>
      </c>
      <c r="AM110" s="3" t="s">
        <v>131</v>
      </c>
      <c r="AN110" s="3" t="s">
        <v>3400</v>
      </c>
      <c r="AO110" s="3" t="s">
        <v>3414</v>
      </c>
      <c r="AP110" s="7" t="s">
        <v>2876</v>
      </c>
      <c r="AQ110" s="7">
        <f t="shared" si="20"/>
        <v>0.67669999999999997</v>
      </c>
      <c r="AR110" s="3" t="s">
        <v>2877</v>
      </c>
      <c r="AS110" s="10" t="s">
        <v>2878</v>
      </c>
      <c r="AT110" s="11">
        <f t="shared" si="21"/>
        <v>0.307</v>
      </c>
      <c r="AU110" s="3" t="s">
        <v>2879</v>
      </c>
      <c r="AV110" s="12"/>
      <c r="AW110" s="3" t="s">
        <v>2880</v>
      </c>
      <c r="AX110" s="3" t="s">
        <v>2881</v>
      </c>
      <c r="AY110" s="3" t="s">
        <v>2602</v>
      </c>
      <c r="AZ110" s="3" t="s">
        <v>2882</v>
      </c>
      <c r="BA110" s="3" t="s">
        <v>2883</v>
      </c>
      <c r="BB110" s="3" t="s">
        <v>2187</v>
      </c>
      <c r="BC110" s="3" t="s">
        <v>2884</v>
      </c>
      <c r="BD110" s="3" t="s">
        <v>2498</v>
      </c>
      <c r="BE110" s="3" t="s">
        <v>2885</v>
      </c>
      <c r="BF110" s="3" t="s">
        <v>2886</v>
      </c>
      <c r="BG110" s="3" t="s">
        <v>1869</v>
      </c>
      <c r="BH110" s="3" t="s">
        <v>2887</v>
      </c>
      <c r="BI110" s="3" t="s">
        <v>2888</v>
      </c>
      <c r="BJ110" s="3" t="s">
        <v>2346</v>
      </c>
      <c r="BK110" s="3" t="s">
        <v>2889</v>
      </c>
      <c r="BL110" s="3" t="s">
        <v>1118</v>
      </c>
      <c r="BM110" s="3" t="s">
        <v>2890</v>
      </c>
      <c r="BN110" s="3" t="s">
        <v>152</v>
      </c>
      <c r="BO110" s="3" t="s">
        <v>152</v>
      </c>
      <c r="BP110" s="3" t="s">
        <v>152</v>
      </c>
      <c r="BQ110" s="3">
        <v>212</v>
      </c>
      <c r="BR110" s="3">
        <v>184</v>
      </c>
      <c r="BS110" s="3">
        <v>78</v>
      </c>
      <c r="BT110" s="3">
        <v>1283</v>
      </c>
      <c r="BU110" s="3">
        <v>609</v>
      </c>
      <c r="BV110" s="3">
        <v>261</v>
      </c>
      <c r="BW110" s="3">
        <v>1685</v>
      </c>
      <c r="BX110" s="3" t="s">
        <v>153</v>
      </c>
      <c r="BY110" s="3" t="s">
        <v>153</v>
      </c>
      <c r="BZ110" s="3">
        <v>0</v>
      </c>
      <c r="CA110" s="3" t="s">
        <v>2593</v>
      </c>
      <c r="CB110" s="3" t="s">
        <v>111</v>
      </c>
      <c r="CC110" s="3" t="s">
        <v>2593</v>
      </c>
      <c r="CD110" s="3" t="s">
        <v>111</v>
      </c>
      <c r="CE110" s="3">
        <v>5022</v>
      </c>
    </row>
    <row r="111" spans="1:83" s="3" customFormat="1" x14ac:dyDescent="0.2">
      <c r="D111" s="5"/>
      <c r="W111" s="7"/>
      <c r="Y111" s="7"/>
      <c r="AP111" s="7"/>
      <c r="AQ111" s="7"/>
      <c r="AS111" s="10"/>
      <c r="AT111" s="11"/>
      <c r="AV111" s="12"/>
    </row>
    <row r="112" spans="1:83" s="3" customFormat="1" x14ac:dyDescent="0.2">
      <c r="D112" s="5"/>
      <c r="W112" s="7"/>
      <c r="Y112" s="7"/>
      <c r="AO112" s="3" t="s">
        <v>4723</v>
      </c>
      <c r="AP112" s="7"/>
      <c r="AQ112" s="7">
        <f>_xlfn.T.TEST(AQ105:AQ110,AQ94:AQ102,2,3)</f>
        <v>0.43534941155919238</v>
      </c>
      <c r="AS112" s="10"/>
      <c r="AT112" s="7">
        <f>_xlfn.T.TEST(AT105:AT110,AT94:AT102,2,3)</f>
        <v>0.99675972344966435</v>
      </c>
      <c r="AV112" s="12"/>
    </row>
    <row r="114" spans="1:83" s="3" customFormat="1" ht="16" x14ac:dyDescent="0.2">
      <c r="A114" s="3" t="s">
        <v>3362</v>
      </c>
      <c r="B114" s="4" t="s">
        <v>4726</v>
      </c>
      <c r="C114" s="4">
        <v>12</v>
      </c>
      <c r="D114" s="5" t="s">
        <v>4734</v>
      </c>
      <c r="E114" s="3" t="s">
        <v>3414</v>
      </c>
      <c r="F114" s="3">
        <v>18041</v>
      </c>
      <c r="G114" s="14">
        <v>45156.44027777778</v>
      </c>
      <c r="H114" s="14">
        <v>45167.61041666667</v>
      </c>
      <c r="I114" s="3" t="s">
        <v>583</v>
      </c>
      <c r="J114" s="3" t="s">
        <v>111</v>
      </c>
      <c r="K114" s="3" t="s">
        <v>111</v>
      </c>
      <c r="L114" s="3" t="s">
        <v>111</v>
      </c>
      <c r="M114" s="3" t="s">
        <v>112</v>
      </c>
      <c r="N114" s="3" t="s">
        <v>113</v>
      </c>
      <c r="O114" s="3" t="s">
        <v>113</v>
      </c>
      <c r="P114" s="3">
        <v>0</v>
      </c>
      <c r="Q114" s="3" t="s">
        <v>113</v>
      </c>
      <c r="R114" s="3" t="s">
        <v>114</v>
      </c>
      <c r="S114" s="3" t="s">
        <v>115</v>
      </c>
      <c r="T114" s="3" t="s">
        <v>116</v>
      </c>
      <c r="U114" s="3" t="s">
        <v>117</v>
      </c>
      <c r="V114" s="3" t="s">
        <v>118</v>
      </c>
      <c r="W114" s="7" t="s">
        <v>616</v>
      </c>
      <c r="X114" s="3" t="s">
        <v>617</v>
      </c>
      <c r="Y114" s="7" t="s">
        <v>618</v>
      </c>
      <c r="Z114" s="3" t="s">
        <v>619</v>
      </c>
      <c r="AA114" s="3" t="s">
        <v>620</v>
      </c>
      <c r="AB114" s="3" t="s">
        <v>621</v>
      </c>
      <c r="AC114" s="3" t="s">
        <v>622</v>
      </c>
      <c r="AD114" s="3" t="s">
        <v>623</v>
      </c>
      <c r="AE114" s="3" t="s">
        <v>624</v>
      </c>
      <c r="AF114" s="3" t="s">
        <v>625</v>
      </c>
      <c r="AG114" s="3" t="s">
        <v>626</v>
      </c>
      <c r="AH114" s="3">
        <v>290.5677</v>
      </c>
      <c r="AI114" s="3" t="s">
        <v>627</v>
      </c>
      <c r="AJ114" s="3" t="s">
        <v>113</v>
      </c>
      <c r="AK114" s="3" t="s">
        <v>113</v>
      </c>
      <c r="AL114" s="3" t="s">
        <v>113</v>
      </c>
      <c r="AM114" s="3" t="s">
        <v>131</v>
      </c>
      <c r="AN114" s="3" t="s">
        <v>3362</v>
      </c>
      <c r="AO114" s="3" t="s">
        <v>3414</v>
      </c>
      <c r="AP114" s="7" t="s">
        <v>628</v>
      </c>
      <c r="AQ114" s="7">
        <f>VALUE(AP114)</f>
        <v>0.67830000000000001</v>
      </c>
      <c r="AR114" s="3" t="s">
        <v>629</v>
      </c>
      <c r="AS114" s="10" t="s">
        <v>630</v>
      </c>
      <c r="AT114" s="11">
        <f>VALUE(AS114)</f>
        <v>0.2271</v>
      </c>
      <c r="AU114" s="3" t="s">
        <v>631</v>
      </c>
      <c r="AV114" s="12"/>
      <c r="AW114" s="3" t="s">
        <v>632</v>
      </c>
      <c r="AX114" s="3" t="s">
        <v>633</v>
      </c>
      <c r="AY114" s="3" t="s">
        <v>634</v>
      </c>
      <c r="AZ114" s="3" t="s">
        <v>635</v>
      </c>
      <c r="BA114" s="3" t="s">
        <v>636</v>
      </c>
      <c r="BB114" s="3" t="s">
        <v>637</v>
      </c>
      <c r="BC114" s="3" t="s">
        <v>638</v>
      </c>
      <c r="BD114" s="3" t="s">
        <v>639</v>
      </c>
      <c r="BE114" s="3" t="s">
        <v>640</v>
      </c>
      <c r="BF114" s="3" t="s">
        <v>641</v>
      </c>
      <c r="BG114" s="3" t="s">
        <v>642</v>
      </c>
      <c r="BH114" s="3" t="s">
        <v>643</v>
      </c>
      <c r="BI114" s="3" t="s">
        <v>644</v>
      </c>
      <c r="BJ114" s="3" t="s">
        <v>645</v>
      </c>
      <c r="BK114" s="3" t="s">
        <v>646</v>
      </c>
      <c r="BL114" s="3" t="s">
        <v>647</v>
      </c>
      <c r="BM114" s="3" t="s">
        <v>648</v>
      </c>
      <c r="BN114" s="3" t="s">
        <v>152</v>
      </c>
      <c r="BO114" s="3" t="s">
        <v>152</v>
      </c>
      <c r="BP114" s="3" t="s">
        <v>152</v>
      </c>
      <c r="BQ114" s="3">
        <v>212</v>
      </c>
      <c r="BR114" s="3">
        <v>172</v>
      </c>
      <c r="BS114" s="3">
        <v>108</v>
      </c>
      <c r="BT114" s="3">
        <v>275</v>
      </c>
      <c r="BU114" s="3">
        <v>1285</v>
      </c>
      <c r="BV114" s="3">
        <v>211</v>
      </c>
      <c r="BW114" s="3">
        <v>800</v>
      </c>
      <c r="BX114" s="3" t="s">
        <v>111</v>
      </c>
      <c r="BY114" s="3" t="s">
        <v>153</v>
      </c>
      <c r="BZ114" s="3">
        <v>0</v>
      </c>
      <c r="CA114" s="3" t="s">
        <v>111</v>
      </c>
      <c r="CB114" s="3" t="s">
        <v>111</v>
      </c>
      <c r="CC114" s="3" t="s">
        <v>615</v>
      </c>
      <c r="CD114" s="3" t="s">
        <v>111</v>
      </c>
      <c r="CE114" s="3">
        <v>5022</v>
      </c>
    </row>
    <row r="115" spans="1:83" s="3" customFormat="1" ht="16" x14ac:dyDescent="0.2">
      <c r="A115" s="3" t="s">
        <v>3363</v>
      </c>
      <c r="B115" s="5" t="s">
        <v>4726</v>
      </c>
      <c r="C115" s="4">
        <v>12</v>
      </c>
      <c r="D115" s="5" t="s">
        <v>4734</v>
      </c>
      <c r="E115" s="3" t="s">
        <v>3414</v>
      </c>
      <c r="F115" s="3">
        <v>18042</v>
      </c>
      <c r="G115" s="14">
        <v>45156.463888888888</v>
      </c>
      <c r="H115" s="14">
        <v>45167.618750000001</v>
      </c>
      <c r="I115" s="3" t="s">
        <v>649</v>
      </c>
      <c r="J115" s="3" t="s">
        <v>111</v>
      </c>
      <c r="K115" s="3" t="s">
        <v>111</v>
      </c>
      <c r="L115" s="3" t="s">
        <v>111</v>
      </c>
      <c r="M115" s="3" t="s">
        <v>112</v>
      </c>
      <c r="N115" s="3" t="s">
        <v>113</v>
      </c>
      <c r="O115" s="3" t="s">
        <v>113</v>
      </c>
      <c r="P115" s="3">
        <v>0</v>
      </c>
      <c r="Q115" s="3" t="s">
        <v>113</v>
      </c>
      <c r="R115" s="3" t="s">
        <v>114</v>
      </c>
      <c r="S115" s="3" t="s">
        <v>115</v>
      </c>
      <c r="T115" s="3" t="s">
        <v>116</v>
      </c>
      <c r="U115" s="3" t="s">
        <v>117</v>
      </c>
      <c r="V115" s="3" t="s">
        <v>118</v>
      </c>
      <c r="W115" s="7" t="s">
        <v>682</v>
      </c>
      <c r="X115" s="3" t="s">
        <v>683</v>
      </c>
      <c r="Y115" s="7" t="s">
        <v>684</v>
      </c>
      <c r="Z115" s="3" t="s">
        <v>685</v>
      </c>
      <c r="AA115" s="3" t="s">
        <v>686</v>
      </c>
      <c r="AB115" s="3" t="s">
        <v>687</v>
      </c>
      <c r="AC115" s="3" t="s">
        <v>688</v>
      </c>
      <c r="AD115" s="3" t="s">
        <v>689</v>
      </c>
      <c r="AE115" s="3" t="s">
        <v>690</v>
      </c>
      <c r="AF115" s="3" t="s">
        <v>691</v>
      </c>
      <c r="AG115" s="3" t="s">
        <v>692</v>
      </c>
      <c r="AH115" s="3">
        <v>249.35419999999999</v>
      </c>
      <c r="AI115" s="3" t="s">
        <v>693</v>
      </c>
      <c r="AJ115" s="3" t="s">
        <v>113</v>
      </c>
      <c r="AK115" s="3" t="s">
        <v>113</v>
      </c>
      <c r="AL115" s="3" t="s">
        <v>113</v>
      </c>
      <c r="AM115" s="3" t="s">
        <v>131</v>
      </c>
      <c r="AN115" s="3" t="s">
        <v>3363</v>
      </c>
      <c r="AO115" s="3" t="s">
        <v>3414</v>
      </c>
      <c r="AP115" s="7" t="s">
        <v>694</v>
      </c>
      <c r="AQ115" s="7">
        <f>VALUE(AP115)</f>
        <v>0.72509999999999997</v>
      </c>
      <c r="AR115" s="3" t="s">
        <v>695</v>
      </c>
      <c r="AS115" s="10" t="s">
        <v>696</v>
      </c>
      <c r="AT115" s="11">
        <f>VALUE(AS115)</f>
        <v>0.1817</v>
      </c>
      <c r="AU115" s="3" t="s">
        <v>697</v>
      </c>
      <c r="AV115" s="12"/>
      <c r="AW115" s="3" t="s">
        <v>698</v>
      </c>
      <c r="AX115" s="3" t="s">
        <v>699</v>
      </c>
      <c r="AY115" s="3" t="s">
        <v>700</v>
      </c>
      <c r="AZ115" s="3" t="s">
        <v>701</v>
      </c>
      <c r="BA115" s="3" t="s">
        <v>702</v>
      </c>
      <c r="BB115" s="3" t="s">
        <v>703</v>
      </c>
      <c r="BC115" s="3" t="s">
        <v>704</v>
      </c>
      <c r="BD115" s="3" t="s">
        <v>705</v>
      </c>
      <c r="BE115" s="3" t="s">
        <v>706</v>
      </c>
      <c r="BF115" s="3" t="s">
        <v>707</v>
      </c>
      <c r="BG115" s="3" t="s">
        <v>708</v>
      </c>
      <c r="BH115" s="3" t="s">
        <v>709</v>
      </c>
      <c r="BI115" s="3" t="s">
        <v>182</v>
      </c>
      <c r="BJ115" s="3" t="s">
        <v>710</v>
      </c>
      <c r="BK115" s="3" t="s">
        <v>711</v>
      </c>
      <c r="BL115" s="3" t="s">
        <v>712</v>
      </c>
      <c r="BM115" s="3" t="s">
        <v>713</v>
      </c>
      <c r="BN115" s="3" t="s">
        <v>152</v>
      </c>
      <c r="BO115" s="3" t="s">
        <v>152</v>
      </c>
      <c r="BP115" s="3" t="s">
        <v>152</v>
      </c>
      <c r="BQ115" s="3">
        <v>220</v>
      </c>
      <c r="BR115" s="3">
        <v>160</v>
      </c>
      <c r="BS115" s="3">
        <v>81</v>
      </c>
      <c r="BT115" s="3">
        <v>269</v>
      </c>
      <c r="BU115" s="3">
        <v>612</v>
      </c>
      <c r="BV115" s="3">
        <v>729</v>
      </c>
      <c r="BW115" s="3">
        <v>1126</v>
      </c>
      <c r="BX115" s="3" t="s">
        <v>111</v>
      </c>
      <c r="BY115" s="3" t="s">
        <v>153</v>
      </c>
      <c r="BZ115" s="3">
        <v>0</v>
      </c>
      <c r="CA115" s="3" t="s">
        <v>111</v>
      </c>
      <c r="CB115" s="3" t="s">
        <v>111</v>
      </c>
      <c r="CC115" s="3" t="s">
        <v>681</v>
      </c>
      <c r="CD115" s="3" t="s">
        <v>111</v>
      </c>
      <c r="CE115" s="3">
        <v>5022</v>
      </c>
    </row>
    <row r="116" spans="1:83" s="3" customFormat="1" ht="16" x14ac:dyDescent="0.2">
      <c r="A116" s="3" t="s">
        <v>3364</v>
      </c>
      <c r="B116" s="4" t="s">
        <v>4726</v>
      </c>
      <c r="C116" s="4">
        <v>12</v>
      </c>
      <c r="D116" s="5" t="s">
        <v>4734</v>
      </c>
      <c r="E116" s="3" t="s">
        <v>3414</v>
      </c>
      <c r="F116" s="3">
        <v>18043</v>
      </c>
      <c r="G116" s="14">
        <v>45156.509027777778</v>
      </c>
      <c r="H116" s="14">
        <v>45167.634027777778</v>
      </c>
      <c r="I116" s="3" t="s">
        <v>714</v>
      </c>
      <c r="J116" s="3" t="s">
        <v>111</v>
      </c>
      <c r="K116" s="3" t="s">
        <v>111</v>
      </c>
      <c r="L116" s="3" t="s">
        <v>111</v>
      </c>
      <c r="M116" s="3" t="s">
        <v>112</v>
      </c>
      <c r="N116" s="3" t="s">
        <v>113</v>
      </c>
      <c r="O116" s="3" t="s">
        <v>113</v>
      </c>
      <c r="P116" s="3">
        <v>0</v>
      </c>
      <c r="Q116" s="3" t="s">
        <v>113</v>
      </c>
      <c r="R116" s="3" t="s">
        <v>114</v>
      </c>
      <c r="S116" s="3" t="s">
        <v>115</v>
      </c>
      <c r="T116" s="3" t="s">
        <v>116</v>
      </c>
      <c r="U116" s="3" t="s">
        <v>117</v>
      </c>
      <c r="V116" s="3" t="s">
        <v>118</v>
      </c>
      <c r="W116" s="7" t="s">
        <v>747</v>
      </c>
      <c r="X116" s="3" t="s">
        <v>233</v>
      </c>
      <c r="Y116" s="7" t="s">
        <v>173</v>
      </c>
      <c r="Z116" s="3" t="s">
        <v>748</v>
      </c>
      <c r="AA116" s="3" t="s">
        <v>749</v>
      </c>
      <c r="AB116" s="3" t="s">
        <v>750</v>
      </c>
      <c r="AC116" s="3" t="s">
        <v>751</v>
      </c>
      <c r="AD116" s="3" t="s">
        <v>752</v>
      </c>
      <c r="AE116" s="3" t="s">
        <v>753</v>
      </c>
      <c r="AF116" s="3" t="s">
        <v>476</v>
      </c>
      <c r="AG116" s="3" t="s">
        <v>754</v>
      </c>
      <c r="AH116" s="3">
        <v>243.24850000000001</v>
      </c>
      <c r="AI116" s="3" t="s">
        <v>755</v>
      </c>
      <c r="AJ116" s="3" t="s">
        <v>113</v>
      </c>
      <c r="AK116" s="3" t="s">
        <v>113</v>
      </c>
      <c r="AL116" s="3" t="s">
        <v>113</v>
      </c>
      <c r="AM116" s="3" t="s">
        <v>131</v>
      </c>
      <c r="AN116" s="3" t="s">
        <v>3364</v>
      </c>
      <c r="AO116" s="3" t="s">
        <v>3414</v>
      </c>
      <c r="AP116" s="7" t="s">
        <v>694</v>
      </c>
      <c r="AQ116" s="7">
        <f>VALUE(AP116)</f>
        <v>0.72509999999999997</v>
      </c>
      <c r="AR116" s="3" t="s">
        <v>756</v>
      </c>
      <c r="AS116" s="10" t="s">
        <v>410</v>
      </c>
      <c r="AT116" s="11">
        <f>VALUE(AS116)</f>
        <v>0.17319999999999999</v>
      </c>
      <c r="AU116" s="3" t="s">
        <v>757</v>
      </c>
      <c r="AV116" s="12"/>
      <c r="AW116" s="3" t="s">
        <v>758</v>
      </c>
      <c r="AX116" s="3" t="s">
        <v>759</v>
      </c>
      <c r="AY116" s="3" t="s">
        <v>760</v>
      </c>
      <c r="AZ116" s="3" t="s">
        <v>761</v>
      </c>
      <c r="BA116" s="3" t="s">
        <v>762</v>
      </c>
      <c r="BB116" s="3" t="s">
        <v>331</v>
      </c>
      <c r="BC116" s="3" t="s">
        <v>763</v>
      </c>
      <c r="BD116" s="3" t="s">
        <v>764</v>
      </c>
      <c r="BE116" s="3" t="s">
        <v>765</v>
      </c>
      <c r="BF116" s="3" t="s">
        <v>766</v>
      </c>
      <c r="BG116" s="3" t="s">
        <v>573</v>
      </c>
      <c r="BH116" s="3" t="s">
        <v>767</v>
      </c>
      <c r="BI116" s="3" t="s">
        <v>768</v>
      </c>
      <c r="BJ116" s="3" t="s">
        <v>769</v>
      </c>
      <c r="BK116" s="3" t="s">
        <v>770</v>
      </c>
      <c r="BL116" s="3" t="s">
        <v>771</v>
      </c>
      <c r="BM116" s="3" t="s">
        <v>772</v>
      </c>
      <c r="BN116" s="3" t="s">
        <v>152</v>
      </c>
      <c r="BO116" s="3" t="s">
        <v>152</v>
      </c>
      <c r="BP116" s="3" t="s">
        <v>152</v>
      </c>
      <c r="BQ116" s="3">
        <v>168</v>
      </c>
      <c r="BR116" s="3">
        <v>224</v>
      </c>
      <c r="BS116" s="3">
        <v>88</v>
      </c>
      <c r="BT116" s="3">
        <v>520</v>
      </c>
      <c r="BU116" s="3">
        <v>389</v>
      </c>
      <c r="BV116" s="3">
        <v>241</v>
      </c>
      <c r="BW116" s="3">
        <v>810</v>
      </c>
      <c r="BX116" s="3" t="s">
        <v>111</v>
      </c>
      <c r="BY116" s="3" t="s">
        <v>153</v>
      </c>
      <c r="BZ116" s="3">
        <v>0</v>
      </c>
      <c r="CA116" s="3" t="s">
        <v>111</v>
      </c>
      <c r="CB116" s="3" t="s">
        <v>111</v>
      </c>
      <c r="CC116" s="3" t="s">
        <v>746</v>
      </c>
      <c r="CD116" s="3" t="s">
        <v>111</v>
      </c>
      <c r="CE116" s="3">
        <v>5022</v>
      </c>
    </row>
    <row r="117" spans="1:83" s="3" customFormat="1" ht="16" x14ac:dyDescent="0.2">
      <c r="A117" s="3" t="s">
        <v>3365</v>
      </c>
      <c r="B117" s="5" t="s">
        <v>4726</v>
      </c>
      <c r="C117" s="4">
        <v>12</v>
      </c>
      <c r="D117" s="5" t="s">
        <v>4734</v>
      </c>
      <c r="E117" s="3" t="s">
        <v>3414</v>
      </c>
      <c r="F117" s="3">
        <v>18044</v>
      </c>
      <c r="G117" s="14">
        <v>45156.518055555556</v>
      </c>
      <c r="H117" s="14">
        <v>45167.673611111109</v>
      </c>
      <c r="I117" s="3" t="s">
        <v>773</v>
      </c>
      <c r="J117" s="3" t="s">
        <v>111</v>
      </c>
      <c r="K117" s="3" t="s">
        <v>111</v>
      </c>
      <c r="L117" s="3" t="s">
        <v>111</v>
      </c>
      <c r="M117" s="3" t="s">
        <v>112</v>
      </c>
      <c r="N117" s="3" t="s">
        <v>113</v>
      </c>
      <c r="O117" s="3" t="s">
        <v>113</v>
      </c>
      <c r="P117" s="3">
        <v>0</v>
      </c>
      <c r="Q117" s="3" t="s">
        <v>113</v>
      </c>
      <c r="R117" s="3" t="s">
        <v>114</v>
      </c>
      <c r="S117" s="3" t="s">
        <v>115</v>
      </c>
      <c r="T117" s="3" t="s">
        <v>116</v>
      </c>
      <c r="U117" s="3" t="s">
        <v>117</v>
      </c>
      <c r="V117" s="3" t="s">
        <v>118</v>
      </c>
      <c r="W117" s="7" t="s">
        <v>804</v>
      </c>
      <c r="X117" s="3" t="s">
        <v>805</v>
      </c>
      <c r="Y117" s="7" t="s">
        <v>806</v>
      </c>
      <c r="Z117" s="3" t="s">
        <v>807</v>
      </c>
      <c r="AA117" s="3" t="s">
        <v>808</v>
      </c>
      <c r="AB117" s="3" t="s">
        <v>809</v>
      </c>
      <c r="AC117" s="3" t="s">
        <v>810</v>
      </c>
      <c r="AD117" s="3" t="s">
        <v>811</v>
      </c>
      <c r="AE117" s="3" t="s">
        <v>812</v>
      </c>
      <c r="AF117" s="3" t="s">
        <v>813</v>
      </c>
      <c r="AG117" s="3" t="s">
        <v>626</v>
      </c>
      <c r="AH117" s="3">
        <v>277.33870000000002</v>
      </c>
      <c r="AI117" s="3" t="s">
        <v>814</v>
      </c>
      <c r="AJ117" s="3" t="s">
        <v>113</v>
      </c>
      <c r="AK117" s="3" t="s">
        <v>113</v>
      </c>
      <c r="AL117" s="3" t="s">
        <v>113</v>
      </c>
      <c r="AM117" s="3" t="s">
        <v>131</v>
      </c>
      <c r="AN117" s="3" t="s">
        <v>3365</v>
      </c>
      <c r="AO117" s="3" t="s">
        <v>3414</v>
      </c>
      <c r="AP117" s="7" t="s">
        <v>815</v>
      </c>
      <c r="AQ117" s="7">
        <f>VALUE(AP117)</f>
        <v>0.75119999999999998</v>
      </c>
      <c r="AR117" s="3" t="s">
        <v>816</v>
      </c>
      <c r="AS117" s="10" t="s">
        <v>817</v>
      </c>
      <c r="AT117" s="11">
        <f>VALUE(AS117)</f>
        <v>0.1895</v>
      </c>
      <c r="AU117" s="3" t="s">
        <v>818</v>
      </c>
      <c r="AV117" s="12"/>
      <c r="AW117" s="3" t="s">
        <v>819</v>
      </c>
      <c r="AX117" s="3" t="s">
        <v>820</v>
      </c>
      <c r="AY117" s="3" t="s">
        <v>821</v>
      </c>
      <c r="AZ117" s="3" t="s">
        <v>822</v>
      </c>
      <c r="BA117" s="3" t="s">
        <v>823</v>
      </c>
      <c r="BB117" s="3" t="s">
        <v>824</v>
      </c>
      <c r="BC117" s="3" t="s">
        <v>825</v>
      </c>
      <c r="BD117" s="3" t="s">
        <v>826</v>
      </c>
      <c r="BE117" s="3" t="s">
        <v>827</v>
      </c>
      <c r="BF117" s="3" t="s">
        <v>828</v>
      </c>
      <c r="BG117" s="3" t="s">
        <v>384</v>
      </c>
      <c r="BH117" s="3" t="s">
        <v>829</v>
      </c>
      <c r="BI117" s="3" t="s">
        <v>830</v>
      </c>
      <c r="BJ117" s="3" t="s">
        <v>831</v>
      </c>
      <c r="BK117" s="3" t="s">
        <v>832</v>
      </c>
      <c r="BL117" s="3" t="s">
        <v>833</v>
      </c>
      <c r="BM117" s="3" t="s">
        <v>834</v>
      </c>
      <c r="BN117" s="3" t="s">
        <v>152</v>
      </c>
      <c r="BO117" s="3" t="s">
        <v>152</v>
      </c>
      <c r="BP117" s="3" t="s">
        <v>152</v>
      </c>
      <c r="BQ117" s="3">
        <v>208</v>
      </c>
      <c r="BR117" s="3">
        <v>180</v>
      </c>
      <c r="BS117" s="3">
        <v>101</v>
      </c>
      <c r="BT117" s="3">
        <v>1046</v>
      </c>
      <c r="BU117" s="3">
        <v>295</v>
      </c>
      <c r="BV117" s="3">
        <v>371</v>
      </c>
      <c r="BW117" s="3">
        <v>930</v>
      </c>
      <c r="BX117" s="3" t="s">
        <v>111</v>
      </c>
      <c r="BY117" s="3" t="s">
        <v>153</v>
      </c>
      <c r="BZ117" s="3">
        <v>0</v>
      </c>
      <c r="CA117" s="3" t="s">
        <v>111</v>
      </c>
      <c r="CB117" s="3" t="s">
        <v>111</v>
      </c>
      <c r="CC117" s="3" t="s">
        <v>803</v>
      </c>
      <c r="CD117" s="3" t="s">
        <v>111</v>
      </c>
      <c r="CE117" s="3">
        <v>5022</v>
      </c>
    </row>
    <row r="118" spans="1:83" s="3" customFormat="1" ht="16" x14ac:dyDescent="0.2">
      <c r="A118" s="3" t="s">
        <v>3366</v>
      </c>
      <c r="B118" s="4" t="s">
        <v>4726</v>
      </c>
      <c r="C118" s="4">
        <v>12</v>
      </c>
      <c r="D118" s="5" t="s">
        <v>4734</v>
      </c>
      <c r="E118" s="3" t="s">
        <v>3414</v>
      </c>
      <c r="F118" s="3">
        <v>18046</v>
      </c>
      <c r="G118" s="14">
        <v>45156.527083333334</v>
      </c>
      <c r="H118" s="14">
        <v>45167.689583333333</v>
      </c>
      <c r="I118" s="3" t="s">
        <v>835</v>
      </c>
      <c r="J118" s="3" t="s">
        <v>111</v>
      </c>
      <c r="K118" s="3" t="s">
        <v>111</v>
      </c>
      <c r="L118" s="3" t="s">
        <v>111</v>
      </c>
      <c r="M118" s="3" t="s">
        <v>112</v>
      </c>
      <c r="N118" s="3" t="s">
        <v>113</v>
      </c>
      <c r="O118" s="3" t="s">
        <v>113</v>
      </c>
      <c r="P118" s="3">
        <v>0</v>
      </c>
      <c r="Q118" s="3" t="s">
        <v>113</v>
      </c>
      <c r="R118" s="3" t="s">
        <v>114</v>
      </c>
      <c r="S118" s="3" t="s">
        <v>115</v>
      </c>
      <c r="T118" s="3" t="s">
        <v>116</v>
      </c>
      <c r="U118" s="3" t="s">
        <v>117</v>
      </c>
      <c r="V118" s="3" t="s">
        <v>118</v>
      </c>
      <c r="W118" s="7" t="s">
        <v>867</v>
      </c>
      <c r="X118" s="3" t="s">
        <v>868</v>
      </c>
      <c r="Y118" s="7" t="s">
        <v>869</v>
      </c>
      <c r="Z118" s="3" t="s">
        <v>870</v>
      </c>
      <c r="AA118" s="3" t="s">
        <v>871</v>
      </c>
      <c r="AB118" s="3" t="s">
        <v>872</v>
      </c>
      <c r="AC118" s="3" t="s">
        <v>873</v>
      </c>
      <c r="AD118" s="3" t="s">
        <v>874</v>
      </c>
      <c r="AE118" s="3" t="s">
        <v>875</v>
      </c>
      <c r="AF118" s="3" t="s">
        <v>480</v>
      </c>
      <c r="AG118" s="3" t="s">
        <v>876</v>
      </c>
      <c r="AH118" s="3">
        <v>222.24189999999999</v>
      </c>
      <c r="AI118" s="3" t="s">
        <v>877</v>
      </c>
      <c r="AJ118" s="3" t="s">
        <v>113</v>
      </c>
      <c r="AK118" s="3" t="s">
        <v>113</v>
      </c>
      <c r="AL118" s="3" t="s">
        <v>113</v>
      </c>
      <c r="AM118" s="3" t="s">
        <v>131</v>
      </c>
      <c r="AN118" s="3" t="s">
        <v>3366</v>
      </c>
      <c r="AO118" s="3" t="s">
        <v>3414</v>
      </c>
      <c r="AP118" s="7" t="s">
        <v>878</v>
      </c>
      <c r="AQ118" s="7">
        <f>VALUE(AP118)</f>
        <v>0.80669999999999997</v>
      </c>
      <c r="AR118" s="3" t="s">
        <v>586</v>
      </c>
      <c r="AS118" s="10" t="s">
        <v>879</v>
      </c>
      <c r="AT118" s="11">
        <f>VALUE(AS118)</f>
        <v>0.14530000000000001</v>
      </c>
      <c r="AU118" s="3" t="s">
        <v>880</v>
      </c>
      <c r="AV118" s="12"/>
      <c r="AW118" s="3" t="s">
        <v>881</v>
      </c>
      <c r="AX118" s="3" t="s">
        <v>882</v>
      </c>
      <c r="AY118" s="3" t="s">
        <v>568</v>
      </c>
      <c r="AZ118" s="3" t="s">
        <v>883</v>
      </c>
      <c r="BA118" s="3" t="s">
        <v>884</v>
      </c>
      <c r="BB118" s="3" t="s">
        <v>885</v>
      </c>
      <c r="BC118" s="3" t="s">
        <v>886</v>
      </c>
      <c r="BD118" s="3" t="s">
        <v>887</v>
      </c>
      <c r="BE118" s="3" t="s">
        <v>888</v>
      </c>
      <c r="BF118" s="3" t="s">
        <v>889</v>
      </c>
      <c r="BG118" s="3" t="s">
        <v>890</v>
      </c>
      <c r="BH118" s="3" t="s">
        <v>891</v>
      </c>
      <c r="BI118" s="3" t="s">
        <v>892</v>
      </c>
      <c r="BJ118" s="3" t="s">
        <v>893</v>
      </c>
      <c r="BK118" s="3" t="s">
        <v>894</v>
      </c>
      <c r="BL118" s="3" t="s">
        <v>895</v>
      </c>
      <c r="BM118" s="3" t="s">
        <v>896</v>
      </c>
      <c r="BN118" s="3" t="s">
        <v>152</v>
      </c>
      <c r="BO118" s="3" t="s">
        <v>152</v>
      </c>
      <c r="BP118" s="3" t="s">
        <v>152</v>
      </c>
      <c r="BQ118" s="3">
        <v>192</v>
      </c>
      <c r="BR118" s="3">
        <v>180</v>
      </c>
      <c r="BS118" s="3">
        <v>104</v>
      </c>
      <c r="BT118" s="3">
        <v>1373</v>
      </c>
      <c r="BU118" s="3">
        <v>587</v>
      </c>
      <c r="BV118" s="3">
        <v>201</v>
      </c>
      <c r="BW118" s="3">
        <v>740</v>
      </c>
      <c r="BX118" s="3" t="s">
        <v>111</v>
      </c>
      <c r="BY118" s="3" t="s">
        <v>153</v>
      </c>
      <c r="BZ118" s="3">
        <v>0</v>
      </c>
      <c r="CA118" s="3" t="s">
        <v>111</v>
      </c>
      <c r="CB118" s="3" t="s">
        <v>111</v>
      </c>
      <c r="CC118" s="3" t="s">
        <v>866</v>
      </c>
      <c r="CD118" s="3" t="s">
        <v>111</v>
      </c>
      <c r="CE118" s="3">
        <v>5022</v>
      </c>
    </row>
    <row r="119" spans="1:83" s="3" customFormat="1" x14ac:dyDescent="0.2">
      <c r="D119" s="5"/>
      <c r="G119" s="14"/>
      <c r="H119" s="14"/>
      <c r="W119" s="7"/>
      <c r="Y119" s="7"/>
      <c r="AP119" s="7"/>
      <c r="AQ119" s="7"/>
      <c r="AS119" s="10"/>
      <c r="AT119" s="11"/>
      <c r="AV119" s="12"/>
    </row>
    <row r="120" spans="1:83" s="3" customFormat="1" x14ac:dyDescent="0.2">
      <c r="D120" s="5"/>
      <c r="G120" s="14"/>
      <c r="H120" s="14"/>
      <c r="W120" s="7"/>
      <c r="Y120" s="7"/>
      <c r="AO120" s="3" t="s">
        <v>4723</v>
      </c>
      <c r="AP120" s="7"/>
      <c r="AQ120" s="7">
        <f>_xlfn.T.TEST(AQ114:AQ118,AQ94:AQ102,2,3)</f>
        <v>0.6238213185036825</v>
      </c>
      <c r="AS120" s="10"/>
      <c r="AT120" s="7">
        <f>_xlfn.T.TEST(AT114:AT118,AT94:AT102,2,3)</f>
        <v>9.3546360307236349E-3</v>
      </c>
      <c r="AV120" s="12"/>
    </row>
    <row r="121" spans="1:83" s="3" customFormat="1" x14ac:dyDescent="0.2">
      <c r="D121" s="5"/>
      <c r="G121" s="14"/>
      <c r="H121" s="14"/>
      <c r="W121" s="7"/>
      <c r="Y121" s="7"/>
      <c r="AO121" s="3" t="s">
        <v>4724</v>
      </c>
      <c r="AP121" s="7"/>
      <c r="AQ121" s="7">
        <f>_xlfn.T.TEST(AQ114:AQ118,AQ105:AQ110,2,3)</f>
        <v>0.17746529772746703</v>
      </c>
      <c r="AS121" s="10"/>
      <c r="AT121" s="7">
        <f>_xlfn.T.TEST(AT114:AT118,AT105:AT110,2,3)</f>
        <v>8.5816952116847728E-2</v>
      </c>
      <c r="AV121" s="12"/>
    </row>
    <row r="123" spans="1:83" s="3" customFormat="1" ht="16" x14ac:dyDescent="0.2">
      <c r="B123" s="4" t="s">
        <v>4728</v>
      </c>
      <c r="C123" s="4" t="s">
        <v>4729</v>
      </c>
      <c r="D123" s="5"/>
      <c r="W123" s="7"/>
      <c r="Y123" s="7"/>
      <c r="AP123" s="7"/>
      <c r="AQ123" s="7"/>
      <c r="AS123" s="10"/>
      <c r="AT123" s="11"/>
      <c r="AV123" s="12"/>
    </row>
    <row r="124" spans="1:83" s="3" customFormat="1" x14ac:dyDescent="0.2">
      <c r="A124" s="3" t="s">
        <v>3374</v>
      </c>
      <c r="B124" s="5" t="s">
        <v>4727</v>
      </c>
      <c r="C124" s="5">
        <v>5</v>
      </c>
      <c r="D124" s="5"/>
      <c r="E124" s="3" t="s">
        <v>3413</v>
      </c>
      <c r="F124" s="3">
        <v>18054</v>
      </c>
      <c r="G124" s="14">
        <v>45156.64166666667</v>
      </c>
      <c r="H124" s="14">
        <v>45170.313888888886</v>
      </c>
      <c r="I124" s="3" t="s">
        <v>1311</v>
      </c>
      <c r="J124" s="3" t="s">
        <v>111</v>
      </c>
      <c r="K124" s="3" t="s">
        <v>111</v>
      </c>
      <c r="L124" s="3" t="s">
        <v>111</v>
      </c>
      <c r="M124" s="3" t="s">
        <v>112</v>
      </c>
      <c r="N124" s="3" t="s">
        <v>113</v>
      </c>
      <c r="O124" s="3" t="s">
        <v>113</v>
      </c>
      <c r="P124" s="3">
        <v>0</v>
      </c>
      <c r="Q124" s="3" t="s">
        <v>113</v>
      </c>
      <c r="R124" s="3" t="s">
        <v>114</v>
      </c>
      <c r="S124" s="3" t="s">
        <v>115</v>
      </c>
      <c r="T124" s="3" t="s">
        <v>116</v>
      </c>
      <c r="U124" s="3" t="s">
        <v>117</v>
      </c>
      <c r="V124" s="3" t="s">
        <v>118</v>
      </c>
      <c r="W124" s="7" t="s">
        <v>1312</v>
      </c>
      <c r="X124" s="3" t="s">
        <v>914</v>
      </c>
      <c r="Y124" s="7" t="s">
        <v>1313</v>
      </c>
      <c r="Z124" s="3" t="s">
        <v>1314</v>
      </c>
      <c r="AA124" s="3" t="s">
        <v>1315</v>
      </c>
      <c r="AB124" s="3" t="s">
        <v>1316</v>
      </c>
      <c r="AC124" s="3" t="s">
        <v>1317</v>
      </c>
      <c r="AD124" s="3" t="s">
        <v>684</v>
      </c>
      <c r="AE124" s="3" t="s">
        <v>1318</v>
      </c>
      <c r="AF124" s="3" t="s">
        <v>1319</v>
      </c>
      <c r="AG124" s="3" t="s">
        <v>1320</v>
      </c>
      <c r="AH124" s="3">
        <v>429.61799999999999</v>
      </c>
      <c r="AI124" s="3" t="s">
        <v>1321</v>
      </c>
      <c r="AJ124" s="3" t="s">
        <v>113</v>
      </c>
      <c r="AK124" s="3" t="s">
        <v>113</v>
      </c>
      <c r="AL124" s="3" t="s">
        <v>113</v>
      </c>
      <c r="AM124" s="3" t="s">
        <v>131</v>
      </c>
      <c r="AN124" s="3" t="s">
        <v>3374</v>
      </c>
      <c r="AO124" s="3" t="s">
        <v>3413</v>
      </c>
      <c r="AP124" s="7" t="s">
        <v>1322</v>
      </c>
      <c r="AQ124" s="7">
        <f t="shared" ref="AQ124:AQ161" si="22">VALUE(AP124)</f>
        <v>0.33</v>
      </c>
      <c r="AR124" s="3" t="s">
        <v>1323</v>
      </c>
      <c r="AS124" s="10" t="s">
        <v>1324</v>
      </c>
      <c r="AT124" s="11">
        <f t="shared" ref="AT124:AT161" si="23">VALUE(AS124)</f>
        <v>0.40100000000000002</v>
      </c>
      <c r="AU124" s="3" t="s">
        <v>1325</v>
      </c>
      <c r="AV124" s="12"/>
      <c r="AW124" s="3" t="s">
        <v>1326</v>
      </c>
      <c r="AX124" s="3" t="s">
        <v>1327</v>
      </c>
      <c r="AY124" s="3" t="s">
        <v>1328</v>
      </c>
      <c r="AZ124" s="3" t="s">
        <v>1329</v>
      </c>
      <c r="BA124" s="3" t="s">
        <v>1330</v>
      </c>
      <c r="BB124" s="3" t="s">
        <v>1331</v>
      </c>
      <c r="BC124" s="3" t="s">
        <v>1332</v>
      </c>
      <c r="BD124" s="3" t="s">
        <v>1333</v>
      </c>
      <c r="BE124" s="3" t="s">
        <v>1334</v>
      </c>
      <c r="BF124" s="3" t="s">
        <v>1335</v>
      </c>
      <c r="BG124" s="3" t="s">
        <v>861</v>
      </c>
      <c r="BH124" s="3" t="s">
        <v>1336</v>
      </c>
      <c r="BI124" s="3" t="s">
        <v>1337</v>
      </c>
      <c r="BJ124" s="3" t="s">
        <v>1338</v>
      </c>
      <c r="BK124" s="3" t="s">
        <v>1339</v>
      </c>
      <c r="BL124" s="3" t="s">
        <v>1340</v>
      </c>
      <c r="BM124" s="3" t="s">
        <v>1341</v>
      </c>
      <c r="BN124" s="3" t="s">
        <v>152</v>
      </c>
      <c r="BO124" s="3" t="s">
        <v>152</v>
      </c>
      <c r="BP124" s="3" t="s">
        <v>152</v>
      </c>
      <c r="BQ124" s="3">
        <v>156</v>
      </c>
      <c r="BR124" s="3">
        <v>144</v>
      </c>
      <c r="BS124" s="3">
        <v>81</v>
      </c>
      <c r="BT124" s="3">
        <v>244</v>
      </c>
      <c r="BU124" s="3">
        <v>702</v>
      </c>
      <c r="BV124" s="3">
        <v>541</v>
      </c>
      <c r="BW124" s="3">
        <v>1126</v>
      </c>
      <c r="BX124" s="3" t="s">
        <v>111</v>
      </c>
      <c r="BY124" s="3" t="s">
        <v>153</v>
      </c>
      <c r="BZ124" s="3">
        <v>0</v>
      </c>
      <c r="CA124" s="3" t="s">
        <v>111</v>
      </c>
      <c r="CB124" s="3" t="s">
        <v>111</v>
      </c>
      <c r="CC124" s="3" t="s">
        <v>1342</v>
      </c>
      <c r="CD124" s="3" t="s">
        <v>111</v>
      </c>
      <c r="CE124" s="3">
        <v>5022</v>
      </c>
    </row>
    <row r="125" spans="1:83" s="3" customFormat="1" x14ac:dyDescent="0.2">
      <c r="A125" s="3" t="s">
        <v>3376</v>
      </c>
      <c r="B125" s="5" t="s">
        <v>4727</v>
      </c>
      <c r="C125" s="5">
        <v>5</v>
      </c>
      <c r="D125" s="5"/>
      <c r="E125" s="3" t="s">
        <v>3413</v>
      </c>
      <c r="F125" s="3">
        <v>18056</v>
      </c>
      <c r="G125" s="14">
        <v>45156.664583333331</v>
      </c>
      <c r="H125" s="14">
        <v>45170.315972222219</v>
      </c>
      <c r="I125" s="3" t="s">
        <v>1427</v>
      </c>
      <c r="J125" s="3" t="s">
        <v>111</v>
      </c>
      <c r="K125" s="3" t="s">
        <v>111</v>
      </c>
      <c r="L125" s="3" t="s">
        <v>111</v>
      </c>
      <c r="M125" s="3" t="s">
        <v>112</v>
      </c>
      <c r="N125" s="3" t="s">
        <v>113</v>
      </c>
      <c r="O125" s="3" t="s">
        <v>113</v>
      </c>
      <c r="P125" s="3">
        <v>0</v>
      </c>
      <c r="Q125" s="3" t="s">
        <v>113</v>
      </c>
      <c r="R125" s="3" t="s">
        <v>114</v>
      </c>
      <c r="S125" s="3" t="s">
        <v>115</v>
      </c>
      <c r="T125" s="3" t="s">
        <v>116</v>
      </c>
      <c r="U125" s="3" t="s">
        <v>117</v>
      </c>
      <c r="V125" s="3" t="s">
        <v>118</v>
      </c>
      <c r="W125" s="7" t="s">
        <v>1428</v>
      </c>
      <c r="X125" s="3" t="s">
        <v>1429</v>
      </c>
      <c r="Y125" s="7" t="s">
        <v>1430</v>
      </c>
      <c r="Z125" s="3" t="s">
        <v>1431</v>
      </c>
      <c r="AA125" s="3" t="s">
        <v>1432</v>
      </c>
      <c r="AB125" s="3" t="s">
        <v>1433</v>
      </c>
      <c r="AC125" s="3" t="s">
        <v>1434</v>
      </c>
      <c r="AD125" s="3" t="s">
        <v>1435</v>
      </c>
      <c r="AE125" s="3" t="s">
        <v>1436</v>
      </c>
      <c r="AF125" s="3" t="s">
        <v>143</v>
      </c>
      <c r="AG125" s="3" t="s">
        <v>1437</v>
      </c>
      <c r="AH125" s="3">
        <v>424.5299</v>
      </c>
      <c r="AI125" s="3" t="s">
        <v>1438</v>
      </c>
      <c r="AJ125" s="3" t="s">
        <v>113</v>
      </c>
      <c r="AK125" s="3" t="s">
        <v>113</v>
      </c>
      <c r="AL125" s="3" t="s">
        <v>113</v>
      </c>
      <c r="AM125" s="3" t="s">
        <v>131</v>
      </c>
      <c r="AN125" s="3" t="s">
        <v>3376</v>
      </c>
      <c r="AO125" s="3" t="s">
        <v>3413</v>
      </c>
      <c r="AP125" s="7" t="s">
        <v>1439</v>
      </c>
      <c r="AQ125" s="7">
        <f t="shared" si="22"/>
        <v>0.39300000000000002</v>
      </c>
      <c r="AR125" s="3" t="s">
        <v>1440</v>
      </c>
      <c r="AS125" s="10" t="s">
        <v>1441</v>
      </c>
      <c r="AT125" s="11">
        <f t="shared" si="23"/>
        <v>0.40679999999999999</v>
      </c>
      <c r="AU125" s="3" t="s">
        <v>1442</v>
      </c>
      <c r="AV125" s="12"/>
      <c r="AW125" s="3" t="s">
        <v>1443</v>
      </c>
      <c r="AX125" s="3" t="s">
        <v>1444</v>
      </c>
      <c r="AY125" s="3" t="s">
        <v>1445</v>
      </c>
      <c r="AZ125" s="3" t="s">
        <v>1446</v>
      </c>
      <c r="BA125" s="3" t="s">
        <v>1447</v>
      </c>
      <c r="BB125" s="3" t="s">
        <v>1448</v>
      </c>
      <c r="BC125" s="3" t="s">
        <v>739</v>
      </c>
      <c r="BD125" s="3" t="s">
        <v>1449</v>
      </c>
      <c r="BE125" s="3" t="s">
        <v>1450</v>
      </c>
      <c r="BF125" s="3" t="s">
        <v>1451</v>
      </c>
      <c r="BG125" s="3" t="s">
        <v>1452</v>
      </c>
      <c r="BH125" s="3" t="s">
        <v>582</v>
      </c>
      <c r="BI125" s="3" t="s">
        <v>1453</v>
      </c>
      <c r="BJ125" s="3" t="s">
        <v>1454</v>
      </c>
      <c r="BK125" s="3" t="s">
        <v>1455</v>
      </c>
      <c r="BL125" s="3" t="s">
        <v>128</v>
      </c>
      <c r="BM125" s="3" t="s">
        <v>1456</v>
      </c>
      <c r="BN125" s="3" t="s">
        <v>152</v>
      </c>
      <c r="BO125" s="3" t="s">
        <v>152</v>
      </c>
      <c r="BP125" s="3" t="s">
        <v>152</v>
      </c>
      <c r="BQ125" s="3">
        <v>144</v>
      </c>
      <c r="BR125" s="3">
        <v>208</v>
      </c>
      <c r="BS125" s="3">
        <v>76</v>
      </c>
      <c r="BT125" s="3">
        <v>494</v>
      </c>
      <c r="BU125" s="3">
        <v>392</v>
      </c>
      <c r="BV125" s="3">
        <v>491</v>
      </c>
      <c r="BW125" s="3">
        <v>1126</v>
      </c>
      <c r="BX125" s="3" t="s">
        <v>111</v>
      </c>
      <c r="BY125" s="3" t="s">
        <v>153</v>
      </c>
      <c r="BZ125" s="3">
        <v>0</v>
      </c>
      <c r="CA125" s="3" t="s">
        <v>111</v>
      </c>
      <c r="CB125" s="3" t="s">
        <v>111</v>
      </c>
      <c r="CC125" s="3" t="s">
        <v>1457</v>
      </c>
      <c r="CD125" s="3" t="s">
        <v>111</v>
      </c>
      <c r="CE125" s="3">
        <v>5022</v>
      </c>
    </row>
    <row r="126" spans="1:83" s="3" customFormat="1" x14ac:dyDescent="0.2">
      <c r="A126" s="3" t="s">
        <v>3378</v>
      </c>
      <c r="B126" s="5" t="s">
        <v>4727</v>
      </c>
      <c r="C126" s="5">
        <v>5</v>
      </c>
      <c r="D126" s="5"/>
      <c r="E126" s="3" t="s">
        <v>3413</v>
      </c>
      <c r="F126" s="3">
        <v>18058</v>
      </c>
      <c r="G126" s="14">
        <v>45156.697222222225</v>
      </c>
      <c r="H126" s="14">
        <v>45170.317361111112</v>
      </c>
      <c r="I126" s="3" t="s">
        <v>1541</v>
      </c>
      <c r="J126" s="3" t="s">
        <v>111</v>
      </c>
      <c r="K126" s="3" t="s">
        <v>111</v>
      </c>
      <c r="L126" s="3" t="s">
        <v>111</v>
      </c>
      <c r="M126" s="3" t="s">
        <v>112</v>
      </c>
      <c r="N126" s="3" t="s">
        <v>113</v>
      </c>
      <c r="O126" s="3" t="s">
        <v>113</v>
      </c>
      <c r="P126" s="3">
        <v>0</v>
      </c>
      <c r="Q126" s="3" t="s">
        <v>113</v>
      </c>
      <c r="R126" s="3" t="s">
        <v>114</v>
      </c>
      <c r="S126" s="3" t="s">
        <v>115</v>
      </c>
      <c r="T126" s="3" t="s">
        <v>116</v>
      </c>
      <c r="U126" s="3" t="s">
        <v>117</v>
      </c>
      <c r="V126" s="3" t="s">
        <v>118</v>
      </c>
      <c r="W126" s="7" t="s">
        <v>1542</v>
      </c>
      <c r="X126" s="3" t="s">
        <v>1543</v>
      </c>
      <c r="Y126" s="7" t="s">
        <v>1544</v>
      </c>
      <c r="Z126" s="3" t="s">
        <v>1545</v>
      </c>
      <c r="AA126" s="3" t="s">
        <v>1546</v>
      </c>
      <c r="AB126" s="3" t="s">
        <v>1547</v>
      </c>
      <c r="AC126" s="3" t="s">
        <v>1503</v>
      </c>
      <c r="AD126" s="3" t="s">
        <v>1548</v>
      </c>
      <c r="AE126" s="3" t="s">
        <v>1549</v>
      </c>
      <c r="AF126" s="3" t="s">
        <v>596</v>
      </c>
      <c r="AG126" s="3" t="s">
        <v>1550</v>
      </c>
      <c r="AH126" s="3">
        <v>441.61130000000003</v>
      </c>
      <c r="AI126" s="3" t="s">
        <v>1551</v>
      </c>
      <c r="AJ126" s="3" t="s">
        <v>113</v>
      </c>
      <c r="AK126" s="3" t="s">
        <v>113</v>
      </c>
      <c r="AL126" s="3" t="s">
        <v>113</v>
      </c>
      <c r="AM126" s="3" t="s">
        <v>131</v>
      </c>
      <c r="AN126" s="3" t="s">
        <v>3378</v>
      </c>
      <c r="AO126" s="3" t="s">
        <v>3413</v>
      </c>
      <c r="AP126" s="7" t="s">
        <v>1552</v>
      </c>
      <c r="AQ126" s="7">
        <f t="shared" si="22"/>
        <v>0.55579999999999996</v>
      </c>
      <c r="AR126" s="3" t="s">
        <v>1553</v>
      </c>
      <c r="AS126" s="10" t="s">
        <v>1554</v>
      </c>
      <c r="AT126" s="11">
        <f t="shared" si="23"/>
        <v>0.4239</v>
      </c>
      <c r="AU126" s="3" t="s">
        <v>1555</v>
      </c>
      <c r="AV126" s="12"/>
      <c r="AW126" s="3" t="s">
        <v>1556</v>
      </c>
      <c r="AX126" s="3" t="s">
        <v>1557</v>
      </c>
      <c r="AY126" s="3" t="s">
        <v>1558</v>
      </c>
      <c r="AZ126" s="3" t="s">
        <v>1559</v>
      </c>
      <c r="BA126" s="3" t="s">
        <v>1560</v>
      </c>
      <c r="BB126" s="3" t="s">
        <v>1561</v>
      </c>
      <c r="BC126" s="3" t="s">
        <v>1562</v>
      </c>
      <c r="BD126" s="3" t="s">
        <v>1563</v>
      </c>
      <c r="BE126" s="3" t="s">
        <v>1564</v>
      </c>
      <c r="BF126" s="3" t="s">
        <v>1565</v>
      </c>
      <c r="BG126" s="3" t="s">
        <v>133</v>
      </c>
      <c r="BH126" s="3" t="s">
        <v>1566</v>
      </c>
      <c r="BI126" s="3" t="s">
        <v>1567</v>
      </c>
      <c r="BJ126" s="3" t="s">
        <v>1568</v>
      </c>
      <c r="BK126" s="3" t="s">
        <v>478</v>
      </c>
      <c r="BL126" s="3" t="s">
        <v>1302</v>
      </c>
      <c r="BM126" s="3" t="s">
        <v>1569</v>
      </c>
      <c r="BN126" s="3" t="s">
        <v>152</v>
      </c>
      <c r="BO126" s="3" t="s">
        <v>152</v>
      </c>
      <c r="BP126" s="3" t="s">
        <v>152</v>
      </c>
      <c r="BQ126" s="3">
        <v>204</v>
      </c>
      <c r="BR126" s="3">
        <v>164</v>
      </c>
      <c r="BS126" s="3">
        <v>69</v>
      </c>
      <c r="BT126" s="3">
        <v>967</v>
      </c>
      <c r="BU126" s="3">
        <v>430</v>
      </c>
      <c r="BV126" s="3">
        <v>391</v>
      </c>
      <c r="BW126" s="3">
        <v>1060</v>
      </c>
      <c r="BX126" s="3" t="s">
        <v>111</v>
      </c>
      <c r="BY126" s="3" t="s">
        <v>153</v>
      </c>
      <c r="BZ126" s="3">
        <v>0</v>
      </c>
      <c r="CA126" s="3" t="s">
        <v>111</v>
      </c>
      <c r="CB126" s="3" t="s">
        <v>111</v>
      </c>
      <c r="CC126" s="3" t="s">
        <v>1570</v>
      </c>
      <c r="CD126" s="3" t="s">
        <v>111</v>
      </c>
      <c r="CE126" s="3">
        <v>5022</v>
      </c>
    </row>
    <row r="127" spans="1:83" s="3" customFormat="1" x14ac:dyDescent="0.2">
      <c r="A127" s="3" t="s">
        <v>3380</v>
      </c>
      <c r="B127" s="5" t="s">
        <v>4727</v>
      </c>
      <c r="C127" s="5">
        <v>5</v>
      </c>
      <c r="D127" s="5"/>
      <c r="E127" s="3" t="s">
        <v>3413</v>
      </c>
      <c r="F127" s="3">
        <v>18060</v>
      </c>
      <c r="G127" s="14">
        <v>45156.752083333333</v>
      </c>
      <c r="H127" s="14">
        <v>45170.319444444445</v>
      </c>
      <c r="I127" s="3" t="s">
        <v>1653</v>
      </c>
      <c r="J127" s="3" t="s">
        <v>111</v>
      </c>
      <c r="K127" s="3" t="s">
        <v>111</v>
      </c>
      <c r="L127" s="3" t="s">
        <v>111</v>
      </c>
      <c r="M127" s="3" t="s">
        <v>112</v>
      </c>
      <c r="N127" s="3" t="s">
        <v>113</v>
      </c>
      <c r="O127" s="3" t="s">
        <v>113</v>
      </c>
      <c r="P127" s="3">
        <v>0</v>
      </c>
      <c r="Q127" s="3" t="s">
        <v>113</v>
      </c>
      <c r="R127" s="3" t="s">
        <v>114</v>
      </c>
      <c r="S127" s="3" t="s">
        <v>115</v>
      </c>
      <c r="T127" s="3" t="s">
        <v>116</v>
      </c>
      <c r="U127" s="3" t="s">
        <v>117</v>
      </c>
      <c r="V127" s="3" t="s">
        <v>118</v>
      </c>
      <c r="W127" s="7" t="s">
        <v>1654</v>
      </c>
      <c r="X127" s="3" t="s">
        <v>1655</v>
      </c>
      <c r="Y127" s="7" t="s">
        <v>1656</v>
      </c>
      <c r="Z127" s="3" t="s">
        <v>1657</v>
      </c>
      <c r="AA127" s="3" t="s">
        <v>1658</v>
      </c>
      <c r="AB127" s="3" t="s">
        <v>1659</v>
      </c>
      <c r="AC127" s="3" t="s">
        <v>1384</v>
      </c>
      <c r="AD127" s="3" t="s">
        <v>1067</v>
      </c>
      <c r="AE127" s="3" t="s">
        <v>1660</v>
      </c>
      <c r="AF127" s="3" t="s">
        <v>1661</v>
      </c>
      <c r="AG127" s="3" t="s">
        <v>1662</v>
      </c>
      <c r="AH127" s="3">
        <v>422.27659999999997</v>
      </c>
      <c r="AI127" s="3" t="s">
        <v>1663</v>
      </c>
      <c r="AJ127" s="3" t="s">
        <v>113</v>
      </c>
      <c r="AK127" s="3" t="s">
        <v>113</v>
      </c>
      <c r="AL127" s="3" t="s">
        <v>113</v>
      </c>
      <c r="AM127" s="3" t="s">
        <v>131</v>
      </c>
      <c r="AN127" s="3" t="s">
        <v>3380</v>
      </c>
      <c r="AO127" s="3" t="s">
        <v>3413</v>
      </c>
      <c r="AP127" s="7" t="s">
        <v>1664</v>
      </c>
      <c r="AQ127" s="7">
        <f t="shared" si="22"/>
        <v>0.54</v>
      </c>
      <c r="AR127" s="3" t="s">
        <v>1665</v>
      </c>
      <c r="AS127" s="10" t="s">
        <v>1666</v>
      </c>
      <c r="AT127" s="11">
        <f t="shared" si="23"/>
        <v>0.41099999999999998</v>
      </c>
      <c r="AU127" s="3" t="s">
        <v>1667</v>
      </c>
      <c r="AV127" s="12"/>
      <c r="AW127" s="3" t="s">
        <v>1668</v>
      </c>
      <c r="AX127" s="3" t="s">
        <v>1669</v>
      </c>
      <c r="AY127" s="3" t="s">
        <v>172</v>
      </c>
      <c r="AZ127" s="3" t="s">
        <v>1670</v>
      </c>
      <c r="BA127" s="3" t="s">
        <v>1671</v>
      </c>
      <c r="BB127" s="3" t="s">
        <v>1672</v>
      </c>
      <c r="BC127" s="3" t="s">
        <v>1673</v>
      </c>
      <c r="BD127" s="3" t="s">
        <v>1674</v>
      </c>
      <c r="BE127" s="3" t="s">
        <v>1675</v>
      </c>
      <c r="BF127" s="3" t="s">
        <v>1676</v>
      </c>
      <c r="BG127" s="3" t="s">
        <v>1418</v>
      </c>
      <c r="BH127" s="3" t="s">
        <v>1677</v>
      </c>
      <c r="BI127" s="3" t="s">
        <v>1678</v>
      </c>
      <c r="BJ127" s="3" t="s">
        <v>1679</v>
      </c>
      <c r="BK127" s="3" t="s">
        <v>1680</v>
      </c>
      <c r="BL127" s="3" t="s">
        <v>1681</v>
      </c>
      <c r="BM127" s="3" t="s">
        <v>979</v>
      </c>
      <c r="BN127" s="3" t="s">
        <v>152</v>
      </c>
      <c r="BO127" s="3" t="s">
        <v>152</v>
      </c>
      <c r="BP127" s="3" t="s">
        <v>152</v>
      </c>
      <c r="BQ127" s="3">
        <v>204</v>
      </c>
      <c r="BR127" s="3">
        <v>160</v>
      </c>
      <c r="BS127" s="3">
        <v>83</v>
      </c>
      <c r="BT127" s="3">
        <v>1235</v>
      </c>
      <c r="BU127" s="3">
        <v>679</v>
      </c>
      <c r="BV127" s="3">
        <v>341</v>
      </c>
      <c r="BW127" s="3">
        <v>1060</v>
      </c>
      <c r="BX127" s="3" t="s">
        <v>111</v>
      </c>
      <c r="BY127" s="3" t="s">
        <v>153</v>
      </c>
      <c r="BZ127" s="3">
        <v>0</v>
      </c>
      <c r="CA127" s="3" t="s">
        <v>111</v>
      </c>
      <c r="CB127" s="3" t="s">
        <v>111</v>
      </c>
      <c r="CC127" s="3" t="s">
        <v>1682</v>
      </c>
      <c r="CD127" s="3" t="s">
        <v>111</v>
      </c>
      <c r="CE127" s="3">
        <v>5022</v>
      </c>
    </row>
    <row r="128" spans="1:83" s="3" customFormat="1" x14ac:dyDescent="0.2">
      <c r="A128" s="3" t="s">
        <v>3373</v>
      </c>
      <c r="B128" s="5" t="s">
        <v>4727</v>
      </c>
      <c r="C128" s="5">
        <v>5</v>
      </c>
      <c r="D128" s="5"/>
      <c r="E128" s="3" t="s">
        <v>3413</v>
      </c>
      <c r="F128" s="3">
        <v>18053</v>
      </c>
      <c r="G128" s="14">
        <v>45156.62777777778</v>
      </c>
      <c r="H128" s="14">
        <v>45170.313194444447</v>
      </c>
      <c r="I128" s="3" t="s">
        <v>1255</v>
      </c>
      <c r="J128" s="3" t="s">
        <v>111</v>
      </c>
      <c r="K128" s="3" t="s">
        <v>111</v>
      </c>
      <c r="L128" s="3" t="s">
        <v>111</v>
      </c>
      <c r="M128" s="3" t="s">
        <v>112</v>
      </c>
      <c r="N128" s="3" t="s">
        <v>113</v>
      </c>
      <c r="O128" s="3" t="s">
        <v>113</v>
      </c>
      <c r="P128" s="3">
        <v>0</v>
      </c>
      <c r="Q128" s="3" t="s">
        <v>113</v>
      </c>
      <c r="R128" s="3" t="s">
        <v>114</v>
      </c>
      <c r="S128" s="3" t="s">
        <v>115</v>
      </c>
      <c r="T128" s="3" t="s">
        <v>116</v>
      </c>
      <c r="U128" s="3" t="s">
        <v>117</v>
      </c>
      <c r="V128" s="3" t="s">
        <v>118</v>
      </c>
      <c r="W128" s="7" t="s">
        <v>1256</v>
      </c>
      <c r="X128" s="3" t="s">
        <v>1257</v>
      </c>
      <c r="Y128" s="7" t="s">
        <v>1258</v>
      </c>
      <c r="Z128" s="3" t="s">
        <v>1259</v>
      </c>
      <c r="AA128" s="3" t="s">
        <v>1260</v>
      </c>
      <c r="AB128" s="3" t="s">
        <v>1261</v>
      </c>
      <c r="AC128" s="3" t="s">
        <v>1262</v>
      </c>
      <c r="AD128" s="3" t="s">
        <v>1263</v>
      </c>
      <c r="AE128" s="3" t="s">
        <v>1264</v>
      </c>
      <c r="AF128" s="3" t="s">
        <v>360</v>
      </c>
      <c r="AG128" s="3" t="s">
        <v>1265</v>
      </c>
      <c r="AH128" s="3">
        <v>425.69290000000001</v>
      </c>
      <c r="AI128" s="3" t="s">
        <v>1266</v>
      </c>
      <c r="AJ128" s="3" t="s">
        <v>113</v>
      </c>
      <c r="AK128" s="3" t="s">
        <v>113</v>
      </c>
      <c r="AL128" s="3" t="s">
        <v>113</v>
      </c>
      <c r="AM128" s="3" t="s">
        <v>131</v>
      </c>
      <c r="AN128" s="3" t="s">
        <v>3373</v>
      </c>
      <c r="AO128" s="3" t="s">
        <v>3413</v>
      </c>
      <c r="AP128" s="7" t="s">
        <v>1267</v>
      </c>
      <c r="AQ128" s="7">
        <f t="shared" si="22"/>
        <v>0.33600000000000002</v>
      </c>
      <c r="AR128" s="3" t="s">
        <v>1268</v>
      </c>
      <c r="AS128" s="10" t="s">
        <v>1269</v>
      </c>
      <c r="AT128" s="11">
        <f t="shared" si="23"/>
        <v>0.41189999999999999</v>
      </c>
      <c r="AU128" s="3" t="s">
        <v>1270</v>
      </c>
      <c r="AV128" s="12"/>
      <c r="AW128" s="3" t="s">
        <v>1271</v>
      </c>
      <c r="AX128" s="3" t="s">
        <v>1272</v>
      </c>
      <c r="AY128" s="3" t="s">
        <v>278</v>
      </c>
      <c r="AZ128" s="3" t="s">
        <v>1273</v>
      </c>
      <c r="BA128" s="3" t="s">
        <v>1274</v>
      </c>
      <c r="BB128" s="3" t="s">
        <v>1275</v>
      </c>
      <c r="BC128" s="3" t="s">
        <v>1276</v>
      </c>
      <c r="BD128" s="3" t="s">
        <v>1277</v>
      </c>
      <c r="BE128" s="3" t="s">
        <v>183</v>
      </c>
      <c r="BF128" s="3" t="s">
        <v>1278</v>
      </c>
      <c r="BG128" s="3" t="s">
        <v>510</v>
      </c>
      <c r="BH128" s="3" t="s">
        <v>1279</v>
      </c>
      <c r="BI128" s="3" t="s">
        <v>745</v>
      </c>
      <c r="BJ128" s="3" t="s">
        <v>197</v>
      </c>
      <c r="BK128" s="3" t="s">
        <v>263</v>
      </c>
      <c r="BL128" s="3" t="s">
        <v>1280</v>
      </c>
      <c r="BM128" s="3" t="s">
        <v>1281</v>
      </c>
      <c r="BN128" s="3" t="s">
        <v>152</v>
      </c>
      <c r="BO128" s="3" t="s">
        <v>152</v>
      </c>
      <c r="BP128" s="3" t="s">
        <v>152</v>
      </c>
      <c r="BQ128" s="3">
        <v>192</v>
      </c>
      <c r="BR128" s="3">
        <v>132</v>
      </c>
      <c r="BS128" s="3">
        <v>88</v>
      </c>
      <c r="BT128" s="3">
        <v>260</v>
      </c>
      <c r="BU128" s="3">
        <v>779</v>
      </c>
      <c r="BV128" s="3">
        <v>311</v>
      </c>
      <c r="BW128" s="3">
        <v>1060</v>
      </c>
      <c r="BX128" s="3" t="s">
        <v>111</v>
      </c>
      <c r="BY128" s="3" t="s">
        <v>153</v>
      </c>
      <c r="BZ128" s="3">
        <v>0</v>
      </c>
      <c r="CA128" s="3" t="s">
        <v>111</v>
      </c>
      <c r="CB128" s="3" t="s">
        <v>111</v>
      </c>
      <c r="CC128" s="3" t="s">
        <v>1282</v>
      </c>
      <c r="CD128" s="3" t="s">
        <v>111</v>
      </c>
      <c r="CE128" s="3">
        <v>5022</v>
      </c>
    </row>
    <row r="129" spans="1:83" s="3" customFormat="1" x14ac:dyDescent="0.2">
      <c r="A129" s="3" t="s">
        <v>3375</v>
      </c>
      <c r="B129" s="5" t="s">
        <v>4727</v>
      </c>
      <c r="C129" s="5">
        <v>5</v>
      </c>
      <c r="D129" s="5"/>
      <c r="E129" s="3" t="s">
        <v>3413</v>
      </c>
      <c r="F129" s="3">
        <v>18055</v>
      </c>
      <c r="G129" s="14">
        <v>45156.656944444447</v>
      </c>
      <c r="H129" s="14">
        <v>45170.31527777778</v>
      </c>
      <c r="I129" s="3" t="s">
        <v>1369</v>
      </c>
      <c r="J129" s="3" t="s">
        <v>111</v>
      </c>
      <c r="K129" s="3" t="s">
        <v>111</v>
      </c>
      <c r="L129" s="3" t="s">
        <v>111</v>
      </c>
      <c r="M129" s="3" t="s">
        <v>112</v>
      </c>
      <c r="N129" s="3" t="s">
        <v>113</v>
      </c>
      <c r="O129" s="3" t="s">
        <v>113</v>
      </c>
      <c r="P129" s="3">
        <v>0</v>
      </c>
      <c r="Q129" s="3" t="s">
        <v>113</v>
      </c>
      <c r="R129" s="3" t="s">
        <v>114</v>
      </c>
      <c r="S129" s="3" t="s">
        <v>115</v>
      </c>
      <c r="T129" s="3" t="s">
        <v>116</v>
      </c>
      <c r="U129" s="3" t="s">
        <v>117</v>
      </c>
      <c r="V129" s="3" t="s">
        <v>118</v>
      </c>
      <c r="W129" s="7" t="s">
        <v>1370</v>
      </c>
      <c r="X129" s="3" t="s">
        <v>732</v>
      </c>
      <c r="Y129" s="7" t="s">
        <v>1371</v>
      </c>
      <c r="Z129" s="3" t="s">
        <v>1372</v>
      </c>
      <c r="AA129" s="3" t="s">
        <v>1373</v>
      </c>
      <c r="AB129" s="3" t="s">
        <v>1374</v>
      </c>
      <c r="AC129" s="3" t="s">
        <v>464</v>
      </c>
      <c r="AD129" s="3" t="s">
        <v>1375</v>
      </c>
      <c r="AE129" s="3" t="s">
        <v>1376</v>
      </c>
      <c r="AF129" s="3" t="s">
        <v>596</v>
      </c>
      <c r="AG129" s="3" t="s">
        <v>1146</v>
      </c>
      <c r="AH129" s="3">
        <v>463.99900000000002</v>
      </c>
      <c r="AI129" s="3" t="s">
        <v>1377</v>
      </c>
      <c r="AJ129" s="3" t="s">
        <v>113</v>
      </c>
      <c r="AK129" s="3" t="s">
        <v>113</v>
      </c>
      <c r="AL129" s="3" t="s">
        <v>113</v>
      </c>
      <c r="AM129" s="3" t="s">
        <v>131</v>
      </c>
      <c r="AN129" s="3" t="s">
        <v>3375</v>
      </c>
      <c r="AO129" s="3" t="s">
        <v>3413</v>
      </c>
      <c r="AP129" s="7" t="s">
        <v>1378</v>
      </c>
      <c r="AQ129" s="7">
        <f t="shared" si="22"/>
        <v>0.47099999999999997</v>
      </c>
      <c r="AR129" s="3" t="s">
        <v>1379</v>
      </c>
      <c r="AS129" s="10" t="s">
        <v>1380</v>
      </c>
      <c r="AT129" s="11">
        <f t="shared" si="23"/>
        <v>0.46189999999999998</v>
      </c>
      <c r="AU129" s="3" t="s">
        <v>1381</v>
      </c>
      <c r="AV129" s="12"/>
      <c r="AW129" s="3" t="s">
        <v>1382</v>
      </c>
      <c r="AX129" s="3" t="s">
        <v>1383</v>
      </c>
      <c r="AY129" s="3" t="s">
        <v>293</v>
      </c>
      <c r="AZ129" s="3" t="s">
        <v>1384</v>
      </c>
      <c r="BA129" s="3" t="s">
        <v>1385</v>
      </c>
      <c r="BB129" s="3" t="s">
        <v>1386</v>
      </c>
      <c r="BC129" s="3" t="s">
        <v>1387</v>
      </c>
      <c r="BD129" s="3" t="s">
        <v>1388</v>
      </c>
      <c r="BE129" s="3" t="s">
        <v>1389</v>
      </c>
      <c r="BF129" s="3" t="s">
        <v>1390</v>
      </c>
      <c r="BG129" s="3" t="s">
        <v>1391</v>
      </c>
      <c r="BH129" s="3" t="s">
        <v>1392</v>
      </c>
      <c r="BI129" s="3" t="s">
        <v>1393</v>
      </c>
      <c r="BJ129" s="3" t="s">
        <v>1394</v>
      </c>
      <c r="BK129" s="3" t="s">
        <v>1395</v>
      </c>
      <c r="BL129" s="3" t="s">
        <v>164</v>
      </c>
      <c r="BM129" s="3" t="s">
        <v>1396</v>
      </c>
      <c r="BN129" s="3" t="s">
        <v>152</v>
      </c>
      <c r="BO129" s="3" t="s">
        <v>152</v>
      </c>
      <c r="BP129" s="3" t="s">
        <v>152</v>
      </c>
      <c r="BQ129" s="3">
        <v>152</v>
      </c>
      <c r="BR129" s="3">
        <v>204</v>
      </c>
      <c r="BS129" s="3">
        <v>77</v>
      </c>
      <c r="BT129" s="3">
        <v>392</v>
      </c>
      <c r="BU129" s="3">
        <v>500</v>
      </c>
      <c r="BV129" s="3">
        <v>533</v>
      </c>
      <c r="BW129" s="3">
        <v>1070</v>
      </c>
      <c r="BX129" s="3" t="s">
        <v>111</v>
      </c>
      <c r="BY129" s="3" t="s">
        <v>153</v>
      </c>
      <c r="BZ129" s="3">
        <v>0</v>
      </c>
      <c r="CA129" s="3" t="s">
        <v>111</v>
      </c>
      <c r="CB129" s="3" t="s">
        <v>111</v>
      </c>
      <c r="CC129" s="3" t="s">
        <v>1397</v>
      </c>
      <c r="CD129" s="3" t="s">
        <v>111</v>
      </c>
      <c r="CE129" s="3">
        <v>5022</v>
      </c>
    </row>
    <row r="130" spans="1:83" s="3" customFormat="1" x14ac:dyDescent="0.2">
      <c r="A130" s="3" t="s">
        <v>3377</v>
      </c>
      <c r="B130" s="5" t="s">
        <v>4727</v>
      </c>
      <c r="C130" s="5">
        <v>5</v>
      </c>
      <c r="D130" s="5"/>
      <c r="E130" s="3" t="s">
        <v>3413</v>
      </c>
      <c r="F130" s="3">
        <v>18057</v>
      </c>
      <c r="G130" s="14">
        <v>45156.686805555553</v>
      </c>
      <c r="H130" s="14">
        <v>45170.316666666666</v>
      </c>
      <c r="I130" s="3" t="s">
        <v>1486</v>
      </c>
      <c r="J130" s="3" t="s">
        <v>111</v>
      </c>
      <c r="K130" s="3" t="s">
        <v>111</v>
      </c>
      <c r="L130" s="3" t="s">
        <v>111</v>
      </c>
      <c r="M130" s="3" t="s">
        <v>112</v>
      </c>
      <c r="N130" s="3" t="s">
        <v>113</v>
      </c>
      <c r="O130" s="3" t="s">
        <v>113</v>
      </c>
      <c r="P130" s="3">
        <v>0</v>
      </c>
      <c r="Q130" s="3" t="s">
        <v>113</v>
      </c>
      <c r="R130" s="3" t="s">
        <v>114</v>
      </c>
      <c r="S130" s="3" t="s">
        <v>115</v>
      </c>
      <c r="T130" s="3" t="s">
        <v>116</v>
      </c>
      <c r="U130" s="3" t="s">
        <v>117</v>
      </c>
      <c r="V130" s="3" t="s">
        <v>118</v>
      </c>
      <c r="W130" s="7" t="s">
        <v>1487</v>
      </c>
      <c r="X130" s="3" t="s">
        <v>1488</v>
      </c>
      <c r="Y130" s="7" t="s">
        <v>1489</v>
      </c>
      <c r="Z130" s="3" t="s">
        <v>1490</v>
      </c>
      <c r="AA130" s="3" t="s">
        <v>1038</v>
      </c>
      <c r="AB130" s="3" t="s">
        <v>1491</v>
      </c>
      <c r="AC130" s="3" t="s">
        <v>1492</v>
      </c>
      <c r="AD130" s="3" t="s">
        <v>1493</v>
      </c>
      <c r="AE130" s="3" t="s">
        <v>1494</v>
      </c>
      <c r="AF130" s="3" t="s">
        <v>935</v>
      </c>
      <c r="AG130" s="3" t="s">
        <v>1495</v>
      </c>
      <c r="AH130" s="3">
        <v>458.40199999999999</v>
      </c>
      <c r="AI130" s="3" t="s">
        <v>1496</v>
      </c>
      <c r="AJ130" s="3" t="s">
        <v>113</v>
      </c>
      <c r="AK130" s="3" t="s">
        <v>113</v>
      </c>
      <c r="AL130" s="3" t="s">
        <v>113</v>
      </c>
      <c r="AM130" s="3" t="s">
        <v>131</v>
      </c>
      <c r="AN130" s="3" t="s">
        <v>3377</v>
      </c>
      <c r="AO130" s="3" t="s">
        <v>3413</v>
      </c>
      <c r="AP130" s="7" t="s">
        <v>1497</v>
      </c>
      <c r="AQ130" s="7">
        <f t="shared" si="22"/>
        <v>0.51790000000000003</v>
      </c>
      <c r="AR130" s="3" t="s">
        <v>978</v>
      </c>
      <c r="AS130" s="10" t="s">
        <v>1498</v>
      </c>
      <c r="AT130" s="11">
        <f t="shared" si="23"/>
        <v>0.44679999999999997</v>
      </c>
      <c r="AU130" s="3" t="s">
        <v>1499</v>
      </c>
      <c r="AV130" s="12"/>
      <c r="AW130" s="3" t="s">
        <v>1500</v>
      </c>
      <c r="AX130" s="3" t="s">
        <v>1501</v>
      </c>
      <c r="AY130" s="3" t="s">
        <v>1502</v>
      </c>
      <c r="AZ130" s="3" t="s">
        <v>1503</v>
      </c>
      <c r="BA130" s="3" t="s">
        <v>1504</v>
      </c>
      <c r="BB130" s="3" t="s">
        <v>1505</v>
      </c>
      <c r="BC130" s="3" t="s">
        <v>1506</v>
      </c>
      <c r="BD130" s="3" t="s">
        <v>1507</v>
      </c>
      <c r="BE130" s="3" t="s">
        <v>247</v>
      </c>
      <c r="BF130" s="3" t="s">
        <v>1508</v>
      </c>
      <c r="BG130" s="3" t="s">
        <v>1509</v>
      </c>
      <c r="BH130" s="3" t="s">
        <v>1510</v>
      </c>
      <c r="BI130" s="3" t="s">
        <v>1511</v>
      </c>
      <c r="BJ130" s="3" t="s">
        <v>1512</v>
      </c>
      <c r="BK130" s="3" t="s">
        <v>1513</v>
      </c>
      <c r="BL130" s="3" t="s">
        <v>1514</v>
      </c>
      <c r="BM130" s="3" t="s">
        <v>794</v>
      </c>
      <c r="BN130" s="3" t="s">
        <v>152</v>
      </c>
      <c r="BO130" s="3" t="s">
        <v>152</v>
      </c>
      <c r="BP130" s="3" t="s">
        <v>152</v>
      </c>
      <c r="BQ130" s="3">
        <v>152</v>
      </c>
      <c r="BR130" s="3">
        <v>220</v>
      </c>
      <c r="BS130" s="3">
        <v>96</v>
      </c>
      <c r="BT130" s="3">
        <v>1048</v>
      </c>
      <c r="BU130" s="3">
        <v>372</v>
      </c>
      <c r="BV130" s="3">
        <v>631</v>
      </c>
      <c r="BW130" s="3">
        <v>1126</v>
      </c>
      <c r="BX130" s="3" t="s">
        <v>111</v>
      </c>
      <c r="BY130" s="3" t="s">
        <v>153</v>
      </c>
      <c r="BZ130" s="3">
        <v>0</v>
      </c>
      <c r="CA130" s="3" t="s">
        <v>111</v>
      </c>
      <c r="CB130" s="3" t="s">
        <v>111</v>
      </c>
      <c r="CC130" s="3" t="s">
        <v>1515</v>
      </c>
      <c r="CD130" s="3" t="s">
        <v>111</v>
      </c>
      <c r="CE130" s="3">
        <v>5022</v>
      </c>
    </row>
    <row r="131" spans="1:83" s="3" customFormat="1" x14ac:dyDescent="0.2">
      <c r="A131" s="3" t="s">
        <v>3379</v>
      </c>
      <c r="B131" s="5" t="s">
        <v>4727</v>
      </c>
      <c r="C131" s="5">
        <v>5</v>
      </c>
      <c r="D131" s="5"/>
      <c r="E131" s="3" t="s">
        <v>3413</v>
      </c>
      <c r="F131" s="3">
        <v>18059</v>
      </c>
      <c r="G131" s="14">
        <v>45156.720833333333</v>
      </c>
      <c r="H131" s="14">
        <v>45170.318749999999</v>
      </c>
      <c r="I131" s="3" t="s">
        <v>1599</v>
      </c>
      <c r="J131" s="3" t="s">
        <v>111</v>
      </c>
      <c r="K131" s="3" t="s">
        <v>111</v>
      </c>
      <c r="L131" s="3" t="s">
        <v>111</v>
      </c>
      <c r="M131" s="3" t="s">
        <v>112</v>
      </c>
      <c r="N131" s="3" t="s">
        <v>113</v>
      </c>
      <c r="O131" s="3" t="s">
        <v>113</v>
      </c>
      <c r="P131" s="3">
        <v>0</v>
      </c>
      <c r="Q131" s="3" t="s">
        <v>113</v>
      </c>
      <c r="R131" s="3" t="s">
        <v>114</v>
      </c>
      <c r="S131" s="3" t="s">
        <v>115</v>
      </c>
      <c r="T131" s="3" t="s">
        <v>116</v>
      </c>
      <c r="U131" s="3" t="s">
        <v>117</v>
      </c>
      <c r="V131" s="3" t="s">
        <v>118</v>
      </c>
      <c r="W131" s="7" t="s">
        <v>1600</v>
      </c>
      <c r="X131" s="3" t="s">
        <v>1601</v>
      </c>
      <c r="Y131" s="7" t="s">
        <v>1602</v>
      </c>
      <c r="Z131" s="3" t="s">
        <v>1603</v>
      </c>
      <c r="AA131" s="3" t="s">
        <v>1604</v>
      </c>
      <c r="AB131" s="3" t="s">
        <v>1605</v>
      </c>
      <c r="AC131" s="3" t="s">
        <v>1606</v>
      </c>
      <c r="AD131" s="3" t="s">
        <v>1607</v>
      </c>
      <c r="AE131" s="3" t="s">
        <v>1608</v>
      </c>
      <c r="AF131" s="3" t="s">
        <v>813</v>
      </c>
      <c r="AG131" s="3" t="s">
        <v>1609</v>
      </c>
      <c r="AH131" s="3">
        <v>430.85359999999997</v>
      </c>
      <c r="AI131" s="3" t="s">
        <v>1610</v>
      </c>
      <c r="AJ131" s="3" t="s">
        <v>113</v>
      </c>
      <c r="AK131" s="3" t="s">
        <v>113</v>
      </c>
      <c r="AL131" s="3" t="s">
        <v>113</v>
      </c>
      <c r="AM131" s="3" t="s">
        <v>131</v>
      </c>
      <c r="AN131" s="3" t="s">
        <v>3379</v>
      </c>
      <c r="AO131" s="3" t="s">
        <v>3413</v>
      </c>
      <c r="AP131" s="7" t="s">
        <v>1611</v>
      </c>
      <c r="AQ131" s="7">
        <f t="shared" si="22"/>
        <v>0.52629999999999999</v>
      </c>
      <c r="AR131" s="3" t="s">
        <v>1612</v>
      </c>
      <c r="AS131" s="10" t="s">
        <v>1613</v>
      </c>
      <c r="AT131" s="11">
        <f t="shared" si="23"/>
        <v>0.4073</v>
      </c>
      <c r="AU131" s="3" t="s">
        <v>1614</v>
      </c>
      <c r="AV131" s="12"/>
      <c r="AW131" s="3" t="s">
        <v>1615</v>
      </c>
      <c r="AX131" s="3" t="s">
        <v>1616</v>
      </c>
      <c r="AY131" s="3" t="s">
        <v>1558</v>
      </c>
      <c r="AZ131" s="3" t="s">
        <v>1197</v>
      </c>
      <c r="BA131" s="3" t="s">
        <v>1617</v>
      </c>
      <c r="BB131" s="3" t="s">
        <v>1618</v>
      </c>
      <c r="BC131" s="3" t="s">
        <v>1076</v>
      </c>
      <c r="BD131" s="3" t="s">
        <v>1619</v>
      </c>
      <c r="BE131" s="3" t="s">
        <v>1620</v>
      </c>
      <c r="BF131" s="3" t="s">
        <v>1621</v>
      </c>
      <c r="BG131" s="3" t="s">
        <v>1594</v>
      </c>
      <c r="BH131" s="3" t="s">
        <v>1622</v>
      </c>
      <c r="BI131" s="3" t="s">
        <v>1623</v>
      </c>
      <c r="BJ131" s="3" t="s">
        <v>1624</v>
      </c>
      <c r="BK131" s="3" t="s">
        <v>1625</v>
      </c>
      <c r="BL131" s="3" t="s">
        <v>1042</v>
      </c>
      <c r="BM131" s="3" t="s">
        <v>1626</v>
      </c>
      <c r="BN131" s="3" t="s">
        <v>152</v>
      </c>
      <c r="BO131" s="3" t="s">
        <v>152</v>
      </c>
      <c r="BP131" s="3" t="s">
        <v>152</v>
      </c>
      <c r="BQ131" s="3">
        <v>156</v>
      </c>
      <c r="BR131" s="3">
        <v>216</v>
      </c>
      <c r="BS131" s="3">
        <v>76</v>
      </c>
      <c r="BT131" s="3">
        <v>1289</v>
      </c>
      <c r="BU131" s="3">
        <v>632</v>
      </c>
      <c r="BV131" s="3">
        <v>301</v>
      </c>
      <c r="BW131" s="3">
        <v>830</v>
      </c>
      <c r="BX131" s="3" t="s">
        <v>111</v>
      </c>
      <c r="BY131" s="3" t="s">
        <v>153</v>
      </c>
      <c r="BZ131" s="3">
        <v>0</v>
      </c>
      <c r="CA131" s="3" t="s">
        <v>111</v>
      </c>
      <c r="CB131" s="3" t="s">
        <v>111</v>
      </c>
      <c r="CC131" s="3" t="s">
        <v>1627</v>
      </c>
      <c r="CD131" s="3" t="s">
        <v>111</v>
      </c>
      <c r="CE131" s="3">
        <v>5022</v>
      </c>
    </row>
    <row r="132" spans="1:83" s="3" customFormat="1" x14ac:dyDescent="0.2">
      <c r="B132" s="5"/>
      <c r="C132" s="5"/>
      <c r="D132" s="5"/>
      <c r="W132" s="7"/>
      <c r="Y132" s="7"/>
      <c r="AP132" s="7"/>
      <c r="AQ132" s="7"/>
      <c r="AS132" s="10"/>
      <c r="AT132" s="11"/>
      <c r="AV132" s="12"/>
    </row>
    <row r="133" spans="1:83" s="3" customFormat="1" x14ac:dyDescent="0.2">
      <c r="A133" s="3" t="s">
        <v>3382</v>
      </c>
      <c r="B133" s="5" t="s">
        <v>4727</v>
      </c>
      <c r="C133" s="5">
        <v>28</v>
      </c>
      <c r="D133" s="5"/>
      <c r="E133" s="3" t="s">
        <v>3413</v>
      </c>
      <c r="F133" s="3">
        <v>18062</v>
      </c>
      <c r="G133" s="14">
        <v>45156.795138888891</v>
      </c>
      <c r="H133" s="14">
        <v>45175.694444444445</v>
      </c>
      <c r="I133" s="3" t="s">
        <v>1772</v>
      </c>
      <c r="J133" s="3" t="s">
        <v>111</v>
      </c>
      <c r="K133" s="3" t="s">
        <v>111</v>
      </c>
      <c r="L133" s="3" t="s">
        <v>111</v>
      </c>
      <c r="M133" s="3" t="s">
        <v>112</v>
      </c>
      <c r="N133" s="3" t="s">
        <v>113</v>
      </c>
      <c r="O133" s="3" t="s">
        <v>113</v>
      </c>
      <c r="P133" s="3">
        <v>0</v>
      </c>
      <c r="Q133" s="3" t="s">
        <v>113</v>
      </c>
      <c r="R133" s="3" t="s">
        <v>114</v>
      </c>
      <c r="S133" s="3" t="s">
        <v>115</v>
      </c>
      <c r="T133" s="3" t="s">
        <v>116</v>
      </c>
      <c r="U133" s="3" t="s">
        <v>117</v>
      </c>
      <c r="V133" s="3" t="s">
        <v>118</v>
      </c>
      <c r="W133" s="7" t="s">
        <v>1773</v>
      </c>
      <c r="X133" s="3" t="s">
        <v>918</v>
      </c>
      <c r="Y133" s="7" t="s">
        <v>1774</v>
      </c>
      <c r="Z133" s="3" t="s">
        <v>1775</v>
      </c>
      <c r="AA133" s="3" t="s">
        <v>1776</v>
      </c>
      <c r="AB133" s="3" t="s">
        <v>1777</v>
      </c>
      <c r="AC133" s="3" t="s">
        <v>1042</v>
      </c>
      <c r="AD133" s="3" t="s">
        <v>1778</v>
      </c>
      <c r="AE133" s="3" t="s">
        <v>1779</v>
      </c>
      <c r="AF133" s="3" t="s">
        <v>1780</v>
      </c>
      <c r="AG133" s="3" t="s">
        <v>1781</v>
      </c>
      <c r="AH133" s="3">
        <v>335.34300000000002</v>
      </c>
      <c r="AI133" s="3" t="s">
        <v>1782</v>
      </c>
      <c r="AJ133" s="3" t="s">
        <v>113</v>
      </c>
      <c r="AK133" s="3" t="s">
        <v>113</v>
      </c>
      <c r="AL133" s="3" t="s">
        <v>113</v>
      </c>
      <c r="AM133" s="3" t="s">
        <v>131</v>
      </c>
      <c r="AN133" s="3" t="s">
        <v>3382</v>
      </c>
      <c r="AO133" s="3" t="s">
        <v>3413</v>
      </c>
      <c r="AP133" s="7" t="s">
        <v>1783</v>
      </c>
      <c r="AQ133" s="7">
        <f t="shared" si="22"/>
        <v>0.46989999999999998</v>
      </c>
      <c r="AR133" s="3" t="s">
        <v>353</v>
      </c>
      <c r="AS133" s="10" t="s">
        <v>1784</v>
      </c>
      <c r="AT133" s="11">
        <f t="shared" si="23"/>
        <v>0.27510000000000001</v>
      </c>
      <c r="AU133" s="3" t="s">
        <v>1785</v>
      </c>
      <c r="AV133" s="12"/>
      <c r="AW133" s="3" t="s">
        <v>1786</v>
      </c>
      <c r="AX133" s="3" t="s">
        <v>1787</v>
      </c>
      <c r="AY133" s="3" t="s">
        <v>731</v>
      </c>
      <c r="AZ133" s="3" t="s">
        <v>1026</v>
      </c>
      <c r="BA133" s="3" t="s">
        <v>1788</v>
      </c>
      <c r="BB133" s="3" t="s">
        <v>1789</v>
      </c>
      <c r="BC133" s="3" t="s">
        <v>1790</v>
      </c>
      <c r="BD133" s="3" t="s">
        <v>1109</v>
      </c>
      <c r="BE133" s="3" t="s">
        <v>1791</v>
      </c>
      <c r="BF133" s="3" t="s">
        <v>1792</v>
      </c>
      <c r="BG133" s="3" t="s">
        <v>1040</v>
      </c>
      <c r="BH133" s="3" t="s">
        <v>1793</v>
      </c>
      <c r="BI133" s="3" t="s">
        <v>1794</v>
      </c>
      <c r="BJ133" s="3" t="s">
        <v>380</v>
      </c>
      <c r="BK133" s="3" t="s">
        <v>1795</v>
      </c>
      <c r="BL133" s="3" t="s">
        <v>1796</v>
      </c>
      <c r="BM133" s="3" t="s">
        <v>1797</v>
      </c>
      <c r="BN133" s="3" t="s">
        <v>152</v>
      </c>
      <c r="BO133" s="3" t="s">
        <v>152</v>
      </c>
      <c r="BP133" s="3" t="s">
        <v>152</v>
      </c>
      <c r="BQ133" s="3">
        <v>172</v>
      </c>
      <c r="BR133" s="3">
        <v>168</v>
      </c>
      <c r="BS133" s="3">
        <v>104</v>
      </c>
      <c r="BT133" s="3">
        <v>1226</v>
      </c>
      <c r="BU133" s="3">
        <v>1130</v>
      </c>
      <c r="BV133" s="3">
        <v>251</v>
      </c>
      <c r="BW133" s="3">
        <v>950</v>
      </c>
      <c r="BX133" s="3" t="s">
        <v>111</v>
      </c>
      <c r="BY133" s="3" t="s">
        <v>153</v>
      </c>
      <c r="BZ133" s="3">
        <v>0</v>
      </c>
      <c r="CA133" s="3" t="s">
        <v>111</v>
      </c>
      <c r="CB133" s="3" t="s">
        <v>111</v>
      </c>
      <c r="CC133" s="3" t="s">
        <v>1798</v>
      </c>
      <c r="CD133" s="3" t="s">
        <v>111</v>
      </c>
      <c r="CE133" s="3">
        <v>5022</v>
      </c>
    </row>
    <row r="134" spans="1:83" s="3" customFormat="1" x14ac:dyDescent="0.2">
      <c r="A134" s="3" t="s">
        <v>3384</v>
      </c>
      <c r="B134" s="5" t="s">
        <v>4727</v>
      </c>
      <c r="C134" s="5">
        <v>28</v>
      </c>
      <c r="D134" s="5"/>
      <c r="E134" s="3" t="s">
        <v>3413</v>
      </c>
      <c r="F134" s="3">
        <v>18064</v>
      </c>
      <c r="G134" s="14">
        <v>45159.52847222222</v>
      </c>
      <c r="H134" s="14">
        <v>45175.714583333334</v>
      </c>
      <c r="I134" s="3" t="s">
        <v>1883</v>
      </c>
      <c r="J134" s="3" t="s">
        <v>111</v>
      </c>
      <c r="K134" s="3" t="s">
        <v>111</v>
      </c>
      <c r="L134" s="3" t="s">
        <v>111</v>
      </c>
      <c r="M134" s="3" t="s">
        <v>112</v>
      </c>
      <c r="N134" s="3" t="s">
        <v>113</v>
      </c>
      <c r="O134" s="3" t="s">
        <v>113</v>
      </c>
      <c r="P134" s="3">
        <v>0</v>
      </c>
      <c r="Q134" s="3" t="s">
        <v>113</v>
      </c>
      <c r="R134" s="3" t="s">
        <v>114</v>
      </c>
      <c r="S134" s="3" t="s">
        <v>115</v>
      </c>
      <c r="T134" s="3" t="s">
        <v>116</v>
      </c>
      <c r="U134" s="3" t="s">
        <v>117</v>
      </c>
      <c r="V134" s="3" t="s">
        <v>118</v>
      </c>
      <c r="W134" s="7" t="s">
        <v>1884</v>
      </c>
      <c r="X134" s="3" t="s">
        <v>576</v>
      </c>
      <c r="Y134" s="7" t="s">
        <v>1885</v>
      </c>
      <c r="Z134" s="3" t="s">
        <v>1886</v>
      </c>
      <c r="AA134" s="3" t="s">
        <v>1887</v>
      </c>
      <c r="AB134" s="3" t="s">
        <v>1888</v>
      </c>
      <c r="AC134" s="3" t="s">
        <v>1404</v>
      </c>
      <c r="AD134" s="3" t="s">
        <v>1889</v>
      </c>
      <c r="AE134" s="3" t="s">
        <v>1890</v>
      </c>
      <c r="AF134" s="3" t="s">
        <v>1891</v>
      </c>
      <c r="AG134" s="3" t="s">
        <v>1264</v>
      </c>
      <c r="AH134" s="3">
        <v>271.95979999999997</v>
      </c>
      <c r="AI134" s="3" t="s">
        <v>1892</v>
      </c>
      <c r="AJ134" s="3" t="s">
        <v>113</v>
      </c>
      <c r="AK134" s="3" t="s">
        <v>113</v>
      </c>
      <c r="AL134" s="3" t="s">
        <v>113</v>
      </c>
      <c r="AM134" s="3" t="s">
        <v>131</v>
      </c>
      <c r="AN134" s="3" t="s">
        <v>3384</v>
      </c>
      <c r="AO134" s="3" t="s">
        <v>3413</v>
      </c>
      <c r="AP134" s="7" t="s">
        <v>1893</v>
      </c>
      <c r="AQ134" s="7">
        <f t="shared" si="22"/>
        <v>0.74980000000000002</v>
      </c>
      <c r="AR134" s="3" t="s">
        <v>1894</v>
      </c>
      <c r="AS134" s="10" t="s">
        <v>1895</v>
      </c>
      <c r="AT134" s="11">
        <f t="shared" si="23"/>
        <v>0.2278</v>
      </c>
      <c r="AU134" s="3" t="s">
        <v>1896</v>
      </c>
      <c r="AV134" s="12"/>
      <c r="AW134" s="3" t="s">
        <v>1897</v>
      </c>
      <c r="AX134" s="3" t="s">
        <v>1898</v>
      </c>
      <c r="AY134" s="3" t="s">
        <v>1899</v>
      </c>
      <c r="AZ134" s="3" t="s">
        <v>1900</v>
      </c>
      <c r="BA134" s="3" t="s">
        <v>1901</v>
      </c>
      <c r="BB134" s="3" t="s">
        <v>1902</v>
      </c>
      <c r="BC134" s="3" t="s">
        <v>1903</v>
      </c>
      <c r="BD134" s="3" t="s">
        <v>1904</v>
      </c>
      <c r="BE134" s="3" t="s">
        <v>444</v>
      </c>
      <c r="BF134" s="3" t="s">
        <v>1905</v>
      </c>
      <c r="BG134" s="3" t="s">
        <v>1337</v>
      </c>
      <c r="BH134" s="3" t="s">
        <v>1906</v>
      </c>
      <c r="BI134" s="3" t="s">
        <v>1907</v>
      </c>
      <c r="BJ134" s="3" t="s">
        <v>1908</v>
      </c>
      <c r="BK134" s="3" t="s">
        <v>1909</v>
      </c>
      <c r="BL134" s="3" t="s">
        <v>1440</v>
      </c>
      <c r="BM134" s="3" t="s">
        <v>1910</v>
      </c>
      <c r="BN134" s="3" t="s">
        <v>152</v>
      </c>
      <c r="BO134" s="3" t="s">
        <v>152</v>
      </c>
      <c r="BP134" s="3" t="s">
        <v>152</v>
      </c>
      <c r="BQ134" s="3">
        <v>176</v>
      </c>
      <c r="BR134" s="3">
        <v>212</v>
      </c>
      <c r="BS134" s="3">
        <v>73</v>
      </c>
      <c r="BT134" s="3">
        <v>953</v>
      </c>
      <c r="BU134" s="3">
        <v>1473</v>
      </c>
      <c r="BV134" s="3">
        <v>491</v>
      </c>
      <c r="BW134" s="3">
        <v>1100</v>
      </c>
      <c r="BX134" s="3" t="s">
        <v>111</v>
      </c>
      <c r="BY134" s="3" t="s">
        <v>153</v>
      </c>
      <c r="BZ134" s="3">
        <v>0</v>
      </c>
      <c r="CA134" s="3" t="s">
        <v>111</v>
      </c>
      <c r="CB134" s="3" t="s">
        <v>111</v>
      </c>
      <c r="CC134" s="3" t="s">
        <v>1911</v>
      </c>
      <c r="CD134" s="3" t="s">
        <v>111</v>
      </c>
      <c r="CE134" s="3">
        <v>5022</v>
      </c>
    </row>
    <row r="135" spans="1:83" s="3" customFormat="1" x14ac:dyDescent="0.2">
      <c r="A135" s="3" t="s">
        <v>3386</v>
      </c>
      <c r="B135" s="5" t="s">
        <v>4727</v>
      </c>
      <c r="C135" s="5">
        <v>28</v>
      </c>
      <c r="D135" s="5"/>
      <c r="E135" s="3" t="s">
        <v>3413</v>
      </c>
      <c r="F135" s="3">
        <v>18066</v>
      </c>
      <c r="G135" s="14">
        <v>45159.570138888892</v>
      </c>
      <c r="H135" s="14">
        <v>45175.736111111109</v>
      </c>
      <c r="I135" s="3" t="s">
        <v>1997</v>
      </c>
      <c r="J135" s="3" t="s">
        <v>111</v>
      </c>
      <c r="K135" s="3" t="s">
        <v>111</v>
      </c>
      <c r="L135" s="3" t="s">
        <v>111</v>
      </c>
      <c r="M135" s="3" t="s">
        <v>112</v>
      </c>
      <c r="N135" s="3" t="s">
        <v>113</v>
      </c>
      <c r="O135" s="3" t="s">
        <v>113</v>
      </c>
      <c r="P135" s="3">
        <v>0</v>
      </c>
      <c r="Q135" s="3" t="s">
        <v>113</v>
      </c>
      <c r="R135" s="3" t="s">
        <v>114</v>
      </c>
      <c r="S135" s="3" t="s">
        <v>115</v>
      </c>
      <c r="T135" s="3" t="s">
        <v>116</v>
      </c>
      <c r="U135" s="3" t="s">
        <v>117</v>
      </c>
      <c r="V135" s="3" t="s">
        <v>118</v>
      </c>
      <c r="W135" s="7" t="s">
        <v>1998</v>
      </c>
      <c r="X135" s="3" t="s">
        <v>1142</v>
      </c>
      <c r="Y135" s="7" t="s">
        <v>1999</v>
      </c>
      <c r="Z135" s="3" t="s">
        <v>2000</v>
      </c>
      <c r="AA135" s="3" t="s">
        <v>2001</v>
      </c>
      <c r="AB135" s="3" t="s">
        <v>2002</v>
      </c>
      <c r="AC135" s="3" t="s">
        <v>1415</v>
      </c>
      <c r="AD135" s="3" t="s">
        <v>558</v>
      </c>
      <c r="AE135" s="3" t="s">
        <v>2003</v>
      </c>
      <c r="AF135" s="3" t="s">
        <v>2004</v>
      </c>
      <c r="AG135" s="3" t="s">
        <v>2005</v>
      </c>
      <c r="AH135" s="3">
        <v>228.78370000000001</v>
      </c>
      <c r="AI135" s="3" t="s">
        <v>2006</v>
      </c>
      <c r="AJ135" s="3" t="s">
        <v>113</v>
      </c>
      <c r="AK135" s="3" t="s">
        <v>113</v>
      </c>
      <c r="AL135" s="3" t="s">
        <v>113</v>
      </c>
      <c r="AM135" s="3" t="s">
        <v>131</v>
      </c>
      <c r="AN135" s="3" t="s">
        <v>3386</v>
      </c>
      <c r="AO135" s="3" t="s">
        <v>3413</v>
      </c>
      <c r="AP135" s="7" t="s">
        <v>2007</v>
      </c>
      <c r="AQ135" s="7">
        <f t="shared" si="22"/>
        <v>0.65969999999999995</v>
      </c>
      <c r="AR135" s="3" t="s">
        <v>2008</v>
      </c>
      <c r="AS135" s="10" t="s">
        <v>2009</v>
      </c>
      <c r="AT135" s="11">
        <f t="shared" si="23"/>
        <v>0.17610000000000001</v>
      </c>
      <c r="AU135" s="3" t="s">
        <v>2010</v>
      </c>
      <c r="AV135" s="12"/>
      <c r="AW135" s="3" t="s">
        <v>2011</v>
      </c>
      <c r="AX135" s="3" t="s">
        <v>2012</v>
      </c>
      <c r="AY135" s="3" t="s">
        <v>2013</v>
      </c>
      <c r="AZ135" s="3" t="s">
        <v>2014</v>
      </c>
      <c r="BA135" s="3" t="s">
        <v>2015</v>
      </c>
      <c r="BB135" s="3" t="s">
        <v>2016</v>
      </c>
      <c r="BC135" s="3" t="s">
        <v>2017</v>
      </c>
      <c r="BD135" s="3" t="s">
        <v>2018</v>
      </c>
      <c r="BE135" s="3" t="s">
        <v>2019</v>
      </c>
      <c r="BF135" s="3" t="s">
        <v>527</v>
      </c>
      <c r="BG135" s="3" t="s">
        <v>2020</v>
      </c>
      <c r="BH135" s="3" t="s">
        <v>2021</v>
      </c>
      <c r="BI135" s="3" t="s">
        <v>2022</v>
      </c>
      <c r="BJ135" s="3" t="s">
        <v>2023</v>
      </c>
      <c r="BK135" s="3" t="s">
        <v>2024</v>
      </c>
      <c r="BL135" s="3" t="s">
        <v>2025</v>
      </c>
      <c r="BM135" s="3" t="s">
        <v>2026</v>
      </c>
      <c r="BN135" s="3" t="s">
        <v>152</v>
      </c>
      <c r="BO135" s="3" t="s">
        <v>152</v>
      </c>
      <c r="BP135" s="3" t="s">
        <v>152</v>
      </c>
      <c r="BQ135" s="3">
        <v>160</v>
      </c>
      <c r="BR135" s="3">
        <v>216</v>
      </c>
      <c r="BS135" s="3">
        <v>62</v>
      </c>
      <c r="BT135" s="3">
        <v>515</v>
      </c>
      <c r="BU135" s="3">
        <v>1434</v>
      </c>
      <c r="BV135" s="3">
        <v>688</v>
      </c>
      <c r="BW135" s="3">
        <v>1126</v>
      </c>
      <c r="BX135" s="3" t="s">
        <v>111</v>
      </c>
      <c r="BY135" s="3" t="s">
        <v>153</v>
      </c>
      <c r="BZ135" s="3">
        <v>0</v>
      </c>
      <c r="CA135" s="3" t="s">
        <v>111</v>
      </c>
      <c r="CB135" s="3" t="s">
        <v>111</v>
      </c>
      <c r="CC135" s="3" t="s">
        <v>2027</v>
      </c>
      <c r="CD135" s="3" t="s">
        <v>111</v>
      </c>
      <c r="CE135" s="3">
        <v>5022</v>
      </c>
    </row>
    <row r="136" spans="1:83" s="3" customFormat="1" x14ac:dyDescent="0.2">
      <c r="A136" s="3" t="s">
        <v>3388</v>
      </c>
      <c r="B136" s="5" t="s">
        <v>4727</v>
      </c>
      <c r="C136" s="5">
        <v>28</v>
      </c>
      <c r="D136" s="5"/>
      <c r="E136" s="3" t="s">
        <v>3413</v>
      </c>
      <c r="F136" s="3">
        <v>18068</v>
      </c>
      <c r="G136" s="14">
        <v>45159.618750000001</v>
      </c>
      <c r="H136" s="14">
        <v>45175.756944444445</v>
      </c>
      <c r="I136" s="3" t="s">
        <v>2112</v>
      </c>
      <c r="J136" s="3" t="s">
        <v>111</v>
      </c>
      <c r="K136" s="3" t="s">
        <v>111</v>
      </c>
      <c r="L136" s="3" t="s">
        <v>111</v>
      </c>
      <c r="M136" s="3" t="s">
        <v>112</v>
      </c>
      <c r="N136" s="3" t="s">
        <v>113</v>
      </c>
      <c r="O136" s="3" t="s">
        <v>113</v>
      </c>
      <c r="P136" s="3">
        <v>0</v>
      </c>
      <c r="Q136" s="3" t="s">
        <v>113</v>
      </c>
      <c r="R136" s="3" t="s">
        <v>114</v>
      </c>
      <c r="S136" s="3" t="s">
        <v>115</v>
      </c>
      <c r="T136" s="3" t="s">
        <v>116</v>
      </c>
      <c r="U136" s="3" t="s">
        <v>117</v>
      </c>
      <c r="V136" s="3" t="s">
        <v>118</v>
      </c>
      <c r="W136" s="7" t="s">
        <v>2113</v>
      </c>
      <c r="X136" s="3" t="s">
        <v>1505</v>
      </c>
      <c r="Y136" s="7" t="s">
        <v>2114</v>
      </c>
      <c r="Z136" s="3" t="s">
        <v>2115</v>
      </c>
      <c r="AA136" s="3" t="s">
        <v>2116</v>
      </c>
      <c r="AB136" s="3" t="s">
        <v>2117</v>
      </c>
      <c r="AC136" s="3" t="s">
        <v>2118</v>
      </c>
      <c r="AD136" s="3" t="s">
        <v>2119</v>
      </c>
      <c r="AE136" s="3" t="s">
        <v>198</v>
      </c>
      <c r="AF136" s="3" t="s">
        <v>1690</v>
      </c>
      <c r="AG136" s="3" t="s">
        <v>165</v>
      </c>
      <c r="AH136" s="3">
        <v>248.7</v>
      </c>
      <c r="AI136" s="3" t="s">
        <v>2120</v>
      </c>
      <c r="AJ136" s="3" t="s">
        <v>113</v>
      </c>
      <c r="AK136" s="3" t="s">
        <v>113</v>
      </c>
      <c r="AL136" s="3" t="s">
        <v>113</v>
      </c>
      <c r="AM136" s="3" t="s">
        <v>131</v>
      </c>
      <c r="AN136" s="3" t="s">
        <v>3388</v>
      </c>
      <c r="AO136" s="3" t="s">
        <v>3413</v>
      </c>
      <c r="AP136" s="7" t="s">
        <v>2121</v>
      </c>
      <c r="AQ136" s="7">
        <f t="shared" si="22"/>
        <v>0.58169999999999999</v>
      </c>
      <c r="AR136" s="3" t="s">
        <v>2122</v>
      </c>
      <c r="AS136" s="10" t="s">
        <v>2123</v>
      </c>
      <c r="AT136" s="11">
        <f t="shared" si="23"/>
        <v>0.1731</v>
      </c>
      <c r="AU136" s="3" t="s">
        <v>2124</v>
      </c>
      <c r="AV136" s="12"/>
      <c r="AW136" s="3" t="s">
        <v>2125</v>
      </c>
      <c r="AX136" s="3" t="s">
        <v>2126</v>
      </c>
      <c r="AY136" s="3" t="s">
        <v>2127</v>
      </c>
      <c r="AZ136" s="3" t="s">
        <v>2128</v>
      </c>
      <c r="BA136" s="3" t="s">
        <v>2129</v>
      </c>
      <c r="BB136" s="3" t="s">
        <v>2130</v>
      </c>
      <c r="BC136" s="3" t="s">
        <v>2131</v>
      </c>
      <c r="BD136" s="3" t="s">
        <v>1932</v>
      </c>
      <c r="BE136" s="3" t="s">
        <v>2132</v>
      </c>
      <c r="BF136" s="3" t="s">
        <v>2133</v>
      </c>
      <c r="BG136" s="3" t="s">
        <v>2134</v>
      </c>
      <c r="BH136" s="3" t="s">
        <v>2135</v>
      </c>
      <c r="BI136" s="3" t="s">
        <v>2136</v>
      </c>
      <c r="BJ136" s="3" t="s">
        <v>2137</v>
      </c>
      <c r="BK136" s="3" t="s">
        <v>2138</v>
      </c>
      <c r="BL136" s="3" t="s">
        <v>2139</v>
      </c>
      <c r="BM136" s="3" t="s">
        <v>2140</v>
      </c>
      <c r="BN136" s="3" t="s">
        <v>152</v>
      </c>
      <c r="BO136" s="3" t="s">
        <v>152</v>
      </c>
      <c r="BP136" s="3" t="s">
        <v>152</v>
      </c>
      <c r="BQ136" s="3">
        <v>200</v>
      </c>
      <c r="BR136" s="3">
        <v>156</v>
      </c>
      <c r="BS136" s="3">
        <v>111</v>
      </c>
      <c r="BT136" s="3">
        <v>214</v>
      </c>
      <c r="BU136" s="3">
        <v>1155</v>
      </c>
      <c r="BV136" s="3">
        <v>481</v>
      </c>
      <c r="BW136" s="3">
        <v>1126</v>
      </c>
      <c r="BX136" s="3" t="s">
        <v>111</v>
      </c>
      <c r="BY136" s="3" t="s">
        <v>153</v>
      </c>
      <c r="BZ136" s="3">
        <v>0</v>
      </c>
      <c r="CA136" s="3" t="s">
        <v>111</v>
      </c>
      <c r="CB136" s="3" t="s">
        <v>111</v>
      </c>
      <c r="CC136" s="3" t="s">
        <v>2141</v>
      </c>
      <c r="CD136" s="3" t="s">
        <v>111</v>
      </c>
      <c r="CE136" s="3">
        <v>5022</v>
      </c>
    </row>
    <row r="137" spans="1:83" s="3" customFormat="1" x14ac:dyDescent="0.2">
      <c r="A137" s="3" t="s">
        <v>3381</v>
      </c>
      <c r="B137" s="5" t="s">
        <v>4727</v>
      </c>
      <c r="C137" s="5">
        <v>28</v>
      </c>
      <c r="D137" s="5"/>
      <c r="E137" s="3" t="s">
        <v>3413</v>
      </c>
      <c r="F137" s="3">
        <v>18061</v>
      </c>
      <c r="G137" s="14">
        <v>45156.773611111108</v>
      </c>
      <c r="H137" s="14">
        <v>45170.320833333331</v>
      </c>
      <c r="I137" s="3" t="s">
        <v>1711</v>
      </c>
      <c r="J137" s="3" t="s">
        <v>111</v>
      </c>
      <c r="K137" s="3" t="s">
        <v>111</v>
      </c>
      <c r="L137" s="3" t="s">
        <v>111</v>
      </c>
      <c r="M137" s="3" t="s">
        <v>112</v>
      </c>
      <c r="N137" s="3" t="s">
        <v>113</v>
      </c>
      <c r="O137" s="3" t="s">
        <v>113</v>
      </c>
      <c r="P137" s="3">
        <v>0</v>
      </c>
      <c r="Q137" s="3" t="s">
        <v>113</v>
      </c>
      <c r="R137" s="3" t="s">
        <v>114</v>
      </c>
      <c r="S137" s="3" t="s">
        <v>115</v>
      </c>
      <c r="T137" s="3" t="s">
        <v>116</v>
      </c>
      <c r="U137" s="3" t="s">
        <v>117</v>
      </c>
      <c r="V137" s="3" t="s">
        <v>118</v>
      </c>
      <c r="W137" s="7" t="s">
        <v>1712</v>
      </c>
      <c r="X137" s="3" t="s">
        <v>1713</v>
      </c>
      <c r="Y137" s="7" t="s">
        <v>1714</v>
      </c>
      <c r="Z137" s="3" t="s">
        <v>1715</v>
      </c>
      <c r="AA137" s="3" t="s">
        <v>1716</v>
      </c>
      <c r="AB137" s="3" t="s">
        <v>1717</v>
      </c>
      <c r="AC137" s="3" t="s">
        <v>1718</v>
      </c>
      <c r="AD137" s="3" t="s">
        <v>1719</v>
      </c>
      <c r="AE137" s="3" t="s">
        <v>1720</v>
      </c>
      <c r="AF137" s="3" t="s">
        <v>408</v>
      </c>
      <c r="AG137" s="3" t="s">
        <v>1721</v>
      </c>
      <c r="AH137" s="3">
        <v>283.00819999999999</v>
      </c>
      <c r="AI137" s="3" t="s">
        <v>1722</v>
      </c>
      <c r="AJ137" s="3" t="s">
        <v>113</v>
      </c>
      <c r="AK137" s="3" t="s">
        <v>113</v>
      </c>
      <c r="AL137" s="3" t="s">
        <v>113</v>
      </c>
      <c r="AM137" s="3" t="s">
        <v>131</v>
      </c>
      <c r="AN137" s="3" t="s">
        <v>3381</v>
      </c>
      <c r="AO137" s="3" t="s">
        <v>3413</v>
      </c>
      <c r="AP137" s="7" t="s">
        <v>1723</v>
      </c>
      <c r="AQ137" s="7">
        <f t="shared" si="22"/>
        <v>0.7167</v>
      </c>
      <c r="AR137" s="3" t="s">
        <v>1724</v>
      </c>
      <c r="AS137" s="10" t="s">
        <v>1725</v>
      </c>
      <c r="AT137" s="11">
        <f t="shared" si="23"/>
        <v>0.2296</v>
      </c>
      <c r="AU137" s="3" t="s">
        <v>1726</v>
      </c>
      <c r="AV137" s="12"/>
      <c r="AW137" s="3" t="s">
        <v>1727</v>
      </c>
      <c r="AX137" s="3" t="s">
        <v>1728</v>
      </c>
      <c r="AY137" s="3" t="s">
        <v>1729</v>
      </c>
      <c r="AZ137" s="3" t="s">
        <v>696</v>
      </c>
      <c r="BA137" s="3" t="s">
        <v>1730</v>
      </c>
      <c r="BB137" s="3" t="s">
        <v>354</v>
      </c>
      <c r="BC137" s="3" t="s">
        <v>1731</v>
      </c>
      <c r="BD137" s="3" t="s">
        <v>1732</v>
      </c>
      <c r="BE137" s="3" t="s">
        <v>1691</v>
      </c>
      <c r="BF137" s="3" t="s">
        <v>1733</v>
      </c>
      <c r="BG137" s="3" t="s">
        <v>464</v>
      </c>
      <c r="BH137" s="3" t="s">
        <v>1734</v>
      </c>
      <c r="BI137" s="3" t="s">
        <v>1735</v>
      </c>
      <c r="BJ137" s="3" t="s">
        <v>1736</v>
      </c>
      <c r="BK137" s="3" t="s">
        <v>1737</v>
      </c>
      <c r="BL137" s="3" t="s">
        <v>1738</v>
      </c>
      <c r="BM137" s="3" t="s">
        <v>1739</v>
      </c>
      <c r="BN137" s="3" t="s">
        <v>152</v>
      </c>
      <c r="BO137" s="3" t="s">
        <v>152</v>
      </c>
      <c r="BP137" s="3" t="s">
        <v>152</v>
      </c>
      <c r="BQ137" s="3">
        <v>212</v>
      </c>
      <c r="BR137" s="3">
        <v>148</v>
      </c>
      <c r="BS137" s="3">
        <v>94</v>
      </c>
      <c r="BT137" s="3">
        <v>1287</v>
      </c>
      <c r="BU137" s="3">
        <v>1162</v>
      </c>
      <c r="BV137" s="3">
        <v>271</v>
      </c>
      <c r="BW137" s="3">
        <v>1030</v>
      </c>
      <c r="BX137" s="3" t="s">
        <v>111</v>
      </c>
      <c r="BY137" s="3" t="s">
        <v>153</v>
      </c>
      <c r="BZ137" s="3">
        <v>0</v>
      </c>
      <c r="CA137" s="3" t="s">
        <v>111</v>
      </c>
      <c r="CB137" s="3" t="s">
        <v>111</v>
      </c>
      <c r="CC137" s="3" t="s">
        <v>1740</v>
      </c>
      <c r="CD137" s="3" t="s">
        <v>111</v>
      </c>
      <c r="CE137" s="3">
        <v>5022</v>
      </c>
    </row>
    <row r="138" spans="1:83" s="3" customFormat="1" x14ac:dyDescent="0.2">
      <c r="A138" s="3" t="s">
        <v>3383</v>
      </c>
      <c r="B138" s="5" t="s">
        <v>4727</v>
      </c>
      <c r="C138" s="5">
        <v>28</v>
      </c>
      <c r="D138" s="5"/>
      <c r="E138" s="3" t="s">
        <v>3413</v>
      </c>
      <c r="F138" s="3">
        <v>18063</v>
      </c>
      <c r="G138" s="14">
        <v>45156.81527777778</v>
      </c>
      <c r="H138" s="14">
        <v>45175.704861111109</v>
      </c>
      <c r="I138" s="3" t="s">
        <v>1828</v>
      </c>
      <c r="J138" s="3" t="s">
        <v>111</v>
      </c>
      <c r="K138" s="3" t="s">
        <v>111</v>
      </c>
      <c r="L138" s="3" t="s">
        <v>111</v>
      </c>
      <c r="M138" s="3" t="s">
        <v>112</v>
      </c>
      <c r="N138" s="3" t="s">
        <v>113</v>
      </c>
      <c r="O138" s="3" t="s">
        <v>113</v>
      </c>
      <c r="P138" s="3">
        <v>0</v>
      </c>
      <c r="Q138" s="3" t="s">
        <v>113</v>
      </c>
      <c r="R138" s="3" t="s">
        <v>114</v>
      </c>
      <c r="S138" s="3" t="s">
        <v>115</v>
      </c>
      <c r="T138" s="3" t="s">
        <v>116</v>
      </c>
      <c r="U138" s="3" t="s">
        <v>117</v>
      </c>
      <c r="V138" s="3" t="s">
        <v>118</v>
      </c>
      <c r="W138" s="7" t="s">
        <v>1829</v>
      </c>
      <c r="X138" s="3" t="s">
        <v>934</v>
      </c>
      <c r="Y138" s="7" t="s">
        <v>1830</v>
      </c>
      <c r="Z138" s="3" t="s">
        <v>1831</v>
      </c>
      <c r="AA138" s="3" t="s">
        <v>1832</v>
      </c>
      <c r="AB138" s="3" t="s">
        <v>1833</v>
      </c>
      <c r="AC138" s="3" t="s">
        <v>1834</v>
      </c>
      <c r="AD138" s="3" t="s">
        <v>1835</v>
      </c>
      <c r="AE138" s="3" t="s">
        <v>1836</v>
      </c>
      <c r="AF138" s="3" t="s">
        <v>189</v>
      </c>
      <c r="AG138" s="3" t="s">
        <v>1837</v>
      </c>
      <c r="AH138" s="3">
        <v>273.84969999999998</v>
      </c>
      <c r="AI138" s="3" t="s">
        <v>1838</v>
      </c>
      <c r="AJ138" s="3" t="s">
        <v>113</v>
      </c>
      <c r="AK138" s="3" t="s">
        <v>113</v>
      </c>
      <c r="AL138" s="3" t="s">
        <v>113</v>
      </c>
      <c r="AM138" s="3" t="s">
        <v>131</v>
      </c>
      <c r="AN138" s="3" t="s">
        <v>3383</v>
      </c>
      <c r="AO138" s="3" t="s">
        <v>3413</v>
      </c>
      <c r="AP138" s="7" t="s">
        <v>1839</v>
      </c>
      <c r="AQ138" s="7">
        <f t="shared" si="22"/>
        <v>0.55979999999999996</v>
      </c>
      <c r="AR138" s="3" t="s">
        <v>1840</v>
      </c>
      <c r="AS138" s="10" t="s">
        <v>1841</v>
      </c>
      <c r="AT138" s="11">
        <f t="shared" si="23"/>
        <v>0.21890000000000001</v>
      </c>
      <c r="AU138" s="3" t="s">
        <v>1842</v>
      </c>
      <c r="AV138" s="12"/>
      <c r="AW138" s="3" t="s">
        <v>1843</v>
      </c>
      <c r="AX138" s="3" t="s">
        <v>1844</v>
      </c>
      <c r="AY138" s="3" t="s">
        <v>1845</v>
      </c>
      <c r="AZ138" s="3" t="s">
        <v>1429</v>
      </c>
      <c r="BA138" s="3" t="s">
        <v>1846</v>
      </c>
      <c r="BB138" s="3" t="s">
        <v>1847</v>
      </c>
      <c r="BC138" s="3" t="s">
        <v>859</v>
      </c>
      <c r="BD138" s="3" t="s">
        <v>1848</v>
      </c>
      <c r="BE138" s="3" t="s">
        <v>738</v>
      </c>
      <c r="BF138" s="3" t="s">
        <v>916</v>
      </c>
      <c r="BG138" s="3" t="s">
        <v>1849</v>
      </c>
      <c r="BH138" s="3" t="s">
        <v>1850</v>
      </c>
      <c r="BI138" s="3" t="s">
        <v>1851</v>
      </c>
      <c r="BJ138" s="3" t="s">
        <v>1852</v>
      </c>
      <c r="BK138" s="3" t="s">
        <v>1853</v>
      </c>
      <c r="BL138" s="3" t="s">
        <v>1854</v>
      </c>
      <c r="BM138" s="3" t="s">
        <v>508</v>
      </c>
      <c r="BN138" s="3" t="s">
        <v>152</v>
      </c>
      <c r="BO138" s="3" t="s">
        <v>152</v>
      </c>
      <c r="BP138" s="3" t="s">
        <v>152</v>
      </c>
      <c r="BQ138" s="3">
        <v>156</v>
      </c>
      <c r="BR138" s="3">
        <v>224</v>
      </c>
      <c r="BS138" s="3">
        <v>70</v>
      </c>
      <c r="BT138" s="3">
        <v>1224</v>
      </c>
      <c r="BU138" s="3">
        <v>1399</v>
      </c>
      <c r="BV138" s="3">
        <v>341</v>
      </c>
      <c r="BW138" s="3">
        <v>1090</v>
      </c>
      <c r="BX138" s="3" t="s">
        <v>111</v>
      </c>
      <c r="BY138" s="3" t="s">
        <v>153</v>
      </c>
      <c r="BZ138" s="3">
        <v>0</v>
      </c>
      <c r="CA138" s="3" t="s">
        <v>111</v>
      </c>
      <c r="CB138" s="3" t="s">
        <v>111</v>
      </c>
      <c r="CC138" s="3" t="s">
        <v>1855</v>
      </c>
      <c r="CD138" s="3" t="s">
        <v>111</v>
      </c>
      <c r="CE138" s="3">
        <v>5022</v>
      </c>
    </row>
    <row r="139" spans="1:83" s="3" customFormat="1" x14ac:dyDescent="0.2">
      <c r="A139" s="3" t="s">
        <v>3385</v>
      </c>
      <c r="B139" s="5" t="s">
        <v>4727</v>
      </c>
      <c r="C139" s="5">
        <v>28</v>
      </c>
      <c r="D139" s="5"/>
      <c r="E139" s="3" t="s">
        <v>3413</v>
      </c>
      <c r="F139" s="3">
        <v>18065</v>
      </c>
      <c r="G139" s="14">
        <v>45159.549305555556</v>
      </c>
      <c r="H139" s="14">
        <v>45175.725694444445</v>
      </c>
      <c r="I139" s="3" t="s">
        <v>1941</v>
      </c>
      <c r="J139" s="3" t="s">
        <v>111</v>
      </c>
      <c r="K139" s="3" t="s">
        <v>111</v>
      </c>
      <c r="L139" s="3" t="s">
        <v>111</v>
      </c>
      <c r="M139" s="3" t="s">
        <v>112</v>
      </c>
      <c r="N139" s="3" t="s">
        <v>113</v>
      </c>
      <c r="O139" s="3" t="s">
        <v>113</v>
      </c>
      <c r="P139" s="3">
        <v>0</v>
      </c>
      <c r="Q139" s="3" t="s">
        <v>113</v>
      </c>
      <c r="R139" s="3" t="s">
        <v>114</v>
      </c>
      <c r="S139" s="3" t="s">
        <v>115</v>
      </c>
      <c r="T139" s="3" t="s">
        <v>116</v>
      </c>
      <c r="U139" s="3" t="s">
        <v>117</v>
      </c>
      <c r="V139" s="3" t="s">
        <v>118</v>
      </c>
      <c r="W139" s="7" t="s">
        <v>1942</v>
      </c>
      <c r="X139" s="3" t="s">
        <v>756</v>
      </c>
      <c r="Y139" s="7" t="s">
        <v>1943</v>
      </c>
      <c r="Z139" s="3" t="s">
        <v>1944</v>
      </c>
      <c r="AA139" s="3" t="s">
        <v>1945</v>
      </c>
      <c r="AB139" s="3" t="s">
        <v>1946</v>
      </c>
      <c r="AC139" s="3" t="s">
        <v>742</v>
      </c>
      <c r="AD139" s="3" t="s">
        <v>1947</v>
      </c>
      <c r="AE139" s="3" t="s">
        <v>1948</v>
      </c>
      <c r="AF139" s="3" t="s">
        <v>625</v>
      </c>
      <c r="AG139" s="3" t="s">
        <v>1749</v>
      </c>
      <c r="AH139" s="3">
        <v>239.7595</v>
      </c>
      <c r="AI139" s="3" t="s">
        <v>1949</v>
      </c>
      <c r="AJ139" s="3" t="s">
        <v>113</v>
      </c>
      <c r="AK139" s="3" t="s">
        <v>113</v>
      </c>
      <c r="AL139" s="3" t="s">
        <v>113</v>
      </c>
      <c r="AM139" s="3" t="s">
        <v>131</v>
      </c>
      <c r="AN139" s="3" t="s">
        <v>3385</v>
      </c>
      <c r="AO139" s="3" t="s">
        <v>3413</v>
      </c>
      <c r="AP139" s="7" t="s">
        <v>1950</v>
      </c>
      <c r="AQ139" s="7">
        <f t="shared" si="22"/>
        <v>0.63190000000000002</v>
      </c>
      <c r="AR139" s="3" t="s">
        <v>1951</v>
      </c>
      <c r="AS139" s="10" t="s">
        <v>1952</v>
      </c>
      <c r="AT139" s="11">
        <f t="shared" si="23"/>
        <v>0.18690000000000001</v>
      </c>
      <c r="AU139" s="3" t="s">
        <v>1953</v>
      </c>
      <c r="AV139" s="12"/>
      <c r="AW139" s="3" t="s">
        <v>1954</v>
      </c>
      <c r="AX139" s="3" t="s">
        <v>1955</v>
      </c>
      <c r="AY139" s="3" t="s">
        <v>1956</v>
      </c>
      <c r="AZ139" s="3" t="s">
        <v>1957</v>
      </c>
      <c r="BA139" s="3" t="s">
        <v>1958</v>
      </c>
      <c r="BB139" s="3" t="s">
        <v>1959</v>
      </c>
      <c r="BC139" s="3" t="s">
        <v>1960</v>
      </c>
      <c r="BD139" s="3" t="s">
        <v>789</v>
      </c>
      <c r="BE139" s="3" t="s">
        <v>1961</v>
      </c>
      <c r="BF139" s="3" t="s">
        <v>1962</v>
      </c>
      <c r="BG139" s="3" t="s">
        <v>1963</v>
      </c>
      <c r="BH139" s="3" t="s">
        <v>1160</v>
      </c>
      <c r="BI139" s="3" t="s">
        <v>1964</v>
      </c>
      <c r="BJ139" s="3" t="s">
        <v>1965</v>
      </c>
      <c r="BK139" s="3" t="s">
        <v>386</v>
      </c>
      <c r="BL139" s="3" t="s">
        <v>1966</v>
      </c>
      <c r="BM139" s="3" t="s">
        <v>1967</v>
      </c>
      <c r="BN139" s="3" t="s">
        <v>152</v>
      </c>
      <c r="BO139" s="3" t="s">
        <v>152</v>
      </c>
      <c r="BP139" s="3" t="s">
        <v>152</v>
      </c>
      <c r="BQ139" s="3">
        <v>152</v>
      </c>
      <c r="BR139" s="3">
        <v>208</v>
      </c>
      <c r="BS139" s="3">
        <v>86</v>
      </c>
      <c r="BT139" s="3">
        <v>590</v>
      </c>
      <c r="BU139" s="3">
        <v>1493</v>
      </c>
      <c r="BV139" s="3">
        <v>371</v>
      </c>
      <c r="BW139" s="3">
        <v>1030</v>
      </c>
      <c r="BX139" s="3" t="s">
        <v>111</v>
      </c>
      <c r="BY139" s="3" t="s">
        <v>153</v>
      </c>
      <c r="BZ139" s="3">
        <v>0</v>
      </c>
      <c r="CA139" s="3" t="s">
        <v>111</v>
      </c>
      <c r="CB139" s="3" t="s">
        <v>111</v>
      </c>
      <c r="CC139" s="3" t="s">
        <v>1968</v>
      </c>
      <c r="CD139" s="3" t="s">
        <v>111</v>
      </c>
      <c r="CE139" s="3">
        <v>5022</v>
      </c>
    </row>
    <row r="140" spans="1:83" s="3" customFormat="1" x14ac:dyDescent="0.2">
      <c r="A140" s="3" t="s">
        <v>3387</v>
      </c>
      <c r="B140" s="5" t="s">
        <v>4727</v>
      </c>
      <c r="C140" s="5">
        <v>28</v>
      </c>
      <c r="D140" s="5"/>
      <c r="E140" s="3" t="s">
        <v>3413</v>
      </c>
      <c r="F140" s="3">
        <v>18067</v>
      </c>
      <c r="G140" s="14">
        <v>45159.601388888892</v>
      </c>
      <c r="H140" s="14">
        <v>45175.746527777781</v>
      </c>
      <c r="I140" s="3" t="s">
        <v>2056</v>
      </c>
      <c r="J140" s="3" t="s">
        <v>111</v>
      </c>
      <c r="K140" s="3" t="s">
        <v>111</v>
      </c>
      <c r="L140" s="3" t="s">
        <v>111</v>
      </c>
      <c r="M140" s="3" t="s">
        <v>112</v>
      </c>
      <c r="N140" s="3" t="s">
        <v>113</v>
      </c>
      <c r="O140" s="3" t="s">
        <v>113</v>
      </c>
      <c r="P140" s="3">
        <v>0</v>
      </c>
      <c r="Q140" s="3" t="s">
        <v>113</v>
      </c>
      <c r="R140" s="3" t="s">
        <v>114</v>
      </c>
      <c r="S140" s="3" t="s">
        <v>115</v>
      </c>
      <c r="T140" s="3" t="s">
        <v>116</v>
      </c>
      <c r="U140" s="3" t="s">
        <v>117</v>
      </c>
      <c r="V140" s="3" t="s">
        <v>118</v>
      </c>
      <c r="W140" s="7" t="s">
        <v>2057</v>
      </c>
      <c r="X140" s="3" t="s">
        <v>1961</v>
      </c>
      <c r="Y140" s="7" t="s">
        <v>2058</v>
      </c>
      <c r="Z140" s="3" t="s">
        <v>2059</v>
      </c>
      <c r="AA140" s="3" t="s">
        <v>2060</v>
      </c>
      <c r="AB140" s="3" t="s">
        <v>2061</v>
      </c>
      <c r="AC140" s="3" t="s">
        <v>2062</v>
      </c>
      <c r="AD140" s="3" t="s">
        <v>2063</v>
      </c>
      <c r="AE140" s="3" t="s">
        <v>2064</v>
      </c>
      <c r="AF140" s="3" t="s">
        <v>312</v>
      </c>
      <c r="AG140" s="3" t="s">
        <v>2065</v>
      </c>
      <c r="AH140" s="3">
        <v>274.28579999999999</v>
      </c>
      <c r="AI140" s="3" t="s">
        <v>2066</v>
      </c>
      <c r="AJ140" s="3" t="s">
        <v>113</v>
      </c>
      <c r="AK140" s="3" t="s">
        <v>113</v>
      </c>
      <c r="AL140" s="3" t="s">
        <v>113</v>
      </c>
      <c r="AM140" s="3" t="s">
        <v>131</v>
      </c>
      <c r="AN140" s="3" t="s">
        <v>3387</v>
      </c>
      <c r="AO140" s="3" t="s">
        <v>3413</v>
      </c>
      <c r="AP140" s="7" t="s">
        <v>2067</v>
      </c>
      <c r="AQ140" s="7">
        <f t="shared" si="22"/>
        <v>0.41899999999999998</v>
      </c>
      <c r="AR140" s="3" t="s">
        <v>2068</v>
      </c>
      <c r="AS140" s="10" t="s">
        <v>2069</v>
      </c>
      <c r="AT140" s="11">
        <f t="shared" si="23"/>
        <v>0.19939999999999999</v>
      </c>
      <c r="AU140" s="3" t="s">
        <v>2070</v>
      </c>
      <c r="AV140" s="12"/>
      <c r="AW140" s="3" t="s">
        <v>2071</v>
      </c>
      <c r="AX140" s="3" t="s">
        <v>2072</v>
      </c>
      <c r="AY140" s="3" t="s">
        <v>1086</v>
      </c>
      <c r="AZ140" s="3" t="s">
        <v>2073</v>
      </c>
      <c r="BA140" s="3" t="s">
        <v>2074</v>
      </c>
      <c r="BB140" s="3" t="s">
        <v>1743</v>
      </c>
      <c r="BC140" s="3" t="s">
        <v>2075</v>
      </c>
      <c r="BD140" s="3" t="s">
        <v>2076</v>
      </c>
      <c r="BE140" s="3" t="s">
        <v>2077</v>
      </c>
      <c r="BF140" s="3" t="s">
        <v>2078</v>
      </c>
      <c r="BG140" s="3" t="s">
        <v>2079</v>
      </c>
      <c r="BH140" s="3" t="s">
        <v>2080</v>
      </c>
      <c r="BI140" s="3" t="s">
        <v>2081</v>
      </c>
      <c r="BJ140" s="3" t="s">
        <v>2082</v>
      </c>
      <c r="BK140" s="3" t="s">
        <v>2083</v>
      </c>
      <c r="BL140" s="3" t="s">
        <v>2084</v>
      </c>
      <c r="BM140" s="3" t="s">
        <v>200</v>
      </c>
      <c r="BN140" s="3" t="s">
        <v>152</v>
      </c>
      <c r="BO140" s="3" t="s">
        <v>152</v>
      </c>
      <c r="BP140" s="3" t="s">
        <v>152</v>
      </c>
      <c r="BQ140" s="3">
        <v>200</v>
      </c>
      <c r="BR140" s="3">
        <v>156</v>
      </c>
      <c r="BS140" s="3">
        <v>82</v>
      </c>
      <c r="BT140" s="3">
        <v>256</v>
      </c>
      <c r="BU140" s="3">
        <v>1327</v>
      </c>
      <c r="BV140" s="3">
        <v>251</v>
      </c>
      <c r="BW140" s="3">
        <v>870</v>
      </c>
      <c r="BX140" s="3" t="s">
        <v>111</v>
      </c>
      <c r="BY140" s="3" t="s">
        <v>153</v>
      </c>
      <c r="BZ140" s="3">
        <v>0</v>
      </c>
      <c r="CA140" s="3" t="s">
        <v>111</v>
      </c>
      <c r="CB140" s="3" t="s">
        <v>111</v>
      </c>
      <c r="CC140" s="3" t="s">
        <v>2085</v>
      </c>
      <c r="CD140" s="3" t="s">
        <v>111</v>
      </c>
      <c r="CE140" s="3">
        <v>5022</v>
      </c>
    </row>
    <row r="141" spans="1:83" s="3" customFormat="1" x14ac:dyDescent="0.2">
      <c r="D141" s="5"/>
      <c r="G141" s="14"/>
      <c r="H141" s="14"/>
      <c r="W141" s="7"/>
      <c r="Y141" s="7"/>
      <c r="AP141" s="7"/>
      <c r="AQ141" s="7"/>
      <c r="AS141" s="10"/>
      <c r="AT141" s="11"/>
      <c r="AV141" s="12"/>
    </row>
    <row r="142" spans="1:83" s="3" customFormat="1" x14ac:dyDescent="0.2">
      <c r="D142" s="5"/>
      <c r="G142" s="14"/>
      <c r="H142" s="14"/>
      <c r="W142" s="7"/>
      <c r="Y142" s="7"/>
      <c r="AP142" s="7"/>
      <c r="AQ142" s="7"/>
      <c r="AS142" s="10"/>
      <c r="AT142" s="7"/>
      <c r="AV142" s="12"/>
    </row>
    <row r="143" spans="1:83" s="3" customFormat="1" x14ac:dyDescent="0.2">
      <c r="D143" s="5"/>
      <c r="G143" s="14"/>
      <c r="H143" s="14"/>
      <c r="W143" s="7"/>
      <c r="Y143" s="7"/>
      <c r="AP143" s="7"/>
      <c r="AQ143" s="7"/>
      <c r="AS143" s="10"/>
      <c r="AT143" s="11"/>
      <c r="AV143" s="12"/>
    </row>
    <row r="144" spans="1:83" s="3" customFormat="1" ht="16" x14ac:dyDescent="0.2">
      <c r="B144" s="4" t="s">
        <v>4728</v>
      </c>
      <c r="C144" s="4" t="s">
        <v>4729</v>
      </c>
      <c r="D144" s="5"/>
      <c r="W144" s="7"/>
      <c r="Y144" s="7"/>
      <c r="AP144" s="7"/>
      <c r="AQ144" s="7"/>
      <c r="AS144" s="10"/>
      <c r="AT144" s="11"/>
      <c r="AV144" s="12"/>
    </row>
    <row r="145" spans="1:83" s="3" customFormat="1" x14ac:dyDescent="0.2">
      <c r="A145" s="3" t="s">
        <v>3374</v>
      </c>
      <c r="B145" s="5" t="s">
        <v>4727</v>
      </c>
      <c r="C145" s="5">
        <v>5</v>
      </c>
      <c r="D145" s="5"/>
      <c r="E145" s="3" t="s">
        <v>3414</v>
      </c>
      <c r="F145" s="3">
        <v>18054</v>
      </c>
      <c r="G145" s="14">
        <v>45156.64166666667</v>
      </c>
      <c r="H145" s="14">
        <v>45170.314583333333</v>
      </c>
      <c r="I145" s="3" t="s">
        <v>1311</v>
      </c>
      <c r="J145" s="3" t="s">
        <v>111</v>
      </c>
      <c r="K145" s="3" t="s">
        <v>111</v>
      </c>
      <c r="L145" s="3" t="s">
        <v>111</v>
      </c>
      <c r="M145" s="3" t="s">
        <v>112</v>
      </c>
      <c r="N145" s="3" t="s">
        <v>113</v>
      </c>
      <c r="O145" s="3" t="s">
        <v>113</v>
      </c>
      <c r="P145" s="3">
        <v>0</v>
      </c>
      <c r="Q145" s="3" t="s">
        <v>113</v>
      </c>
      <c r="R145" s="3" t="s">
        <v>114</v>
      </c>
      <c r="S145" s="3" t="s">
        <v>115</v>
      </c>
      <c r="T145" s="3" t="s">
        <v>116</v>
      </c>
      <c r="U145" s="3" t="s">
        <v>117</v>
      </c>
      <c r="V145" s="3" t="s">
        <v>118</v>
      </c>
      <c r="W145" s="7" t="s">
        <v>1343</v>
      </c>
      <c r="X145" s="3" t="s">
        <v>1344</v>
      </c>
      <c r="Y145" s="7" t="s">
        <v>1345</v>
      </c>
      <c r="Z145" s="3" t="s">
        <v>1346</v>
      </c>
      <c r="AA145" s="3" t="s">
        <v>1347</v>
      </c>
      <c r="AB145" s="3" t="s">
        <v>1348</v>
      </c>
      <c r="AC145" s="3" t="s">
        <v>1264</v>
      </c>
      <c r="AD145" s="3" t="s">
        <v>1349</v>
      </c>
      <c r="AE145" s="3" t="s">
        <v>424</v>
      </c>
      <c r="AF145" s="3" t="s">
        <v>935</v>
      </c>
      <c r="AG145" s="3" t="s">
        <v>1350</v>
      </c>
      <c r="AH145" s="3">
        <v>461.0915</v>
      </c>
      <c r="AI145" s="3" t="s">
        <v>1351</v>
      </c>
      <c r="AJ145" s="3" t="s">
        <v>113</v>
      </c>
      <c r="AK145" s="3" t="s">
        <v>113</v>
      </c>
      <c r="AL145" s="3" t="s">
        <v>113</v>
      </c>
      <c r="AM145" s="3" t="s">
        <v>131</v>
      </c>
      <c r="AN145" s="3" t="s">
        <v>3374</v>
      </c>
      <c r="AO145" s="3" t="s">
        <v>3414</v>
      </c>
      <c r="AP145" s="7" t="s">
        <v>1352</v>
      </c>
      <c r="AQ145" s="7">
        <f t="shared" si="22"/>
        <v>0.62029999999999996</v>
      </c>
      <c r="AR145" s="3" t="s">
        <v>1353</v>
      </c>
      <c r="AS145" s="10" t="s">
        <v>1354</v>
      </c>
      <c r="AT145" s="11">
        <f t="shared" si="23"/>
        <v>0.46910000000000002</v>
      </c>
      <c r="AU145" s="3" t="s">
        <v>1355</v>
      </c>
      <c r="AV145" s="12"/>
      <c r="AW145" s="3" t="s">
        <v>1356</v>
      </c>
      <c r="AX145" s="3" t="s">
        <v>1357</v>
      </c>
      <c r="AY145" s="3" t="s">
        <v>1358</v>
      </c>
      <c r="AZ145" s="3" t="s">
        <v>1359</v>
      </c>
      <c r="BA145" s="3" t="s">
        <v>1360</v>
      </c>
      <c r="BB145" s="3" t="s">
        <v>875</v>
      </c>
      <c r="BC145" s="3" t="s">
        <v>708</v>
      </c>
      <c r="BD145" s="3" t="s">
        <v>1361</v>
      </c>
      <c r="BE145" s="3" t="s">
        <v>987</v>
      </c>
      <c r="BF145" s="3" t="s">
        <v>1362</v>
      </c>
      <c r="BG145" s="3" t="s">
        <v>1363</v>
      </c>
      <c r="BH145" s="3" t="s">
        <v>955</v>
      </c>
      <c r="BI145" s="3" t="s">
        <v>1364</v>
      </c>
      <c r="BJ145" s="3" t="s">
        <v>1365</v>
      </c>
      <c r="BK145" s="3" t="s">
        <v>1366</v>
      </c>
      <c r="BL145" s="3" t="s">
        <v>1367</v>
      </c>
      <c r="BM145" s="3" t="s">
        <v>1368</v>
      </c>
      <c r="BN145" s="3" t="s">
        <v>152</v>
      </c>
      <c r="BO145" s="3" t="s">
        <v>152</v>
      </c>
      <c r="BP145" s="3" t="s">
        <v>152</v>
      </c>
      <c r="BQ145" s="3">
        <v>232</v>
      </c>
      <c r="BR145" s="3">
        <v>168</v>
      </c>
      <c r="BS145" s="3">
        <v>95</v>
      </c>
      <c r="BT145" s="3">
        <v>259</v>
      </c>
      <c r="BU145" s="3">
        <v>607</v>
      </c>
      <c r="BV145" s="3">
        <v>541</v>
      </c>
      <c r="BW145" s="3">
        <v>1126</v>
      </c>
      <c r="BX145" s="3" t="s">
        <v>111</v>
      </c>
      <c r="BY145" s="3" t="s">
        <v>153</v>
      </c>
      <c r="BZ145" s="3">
        <v>0</v>
      </c>
      <c r="CA145" s="3" t="s">
        <v>111</v>
      </c>
      <c r="CB145" s="3" t="s">
        <v>111</v>
      </c>
      <c r="CC145" s="3" t="s">
        <v>1342</v>
      </c>
      <c r="CD145" s="3" t="s">
        <v>111</v>
      </c>
      <c r="CE145" s="3">
        <v>5022</v>
      </c>
    </row>
    <row r="146" spans="1:83" s="3" customFormat="1" x14ac:dyDescent="0.2">
      <c r="A146" s="3" t="s">
        <v>3376</v>
      </c>
      <c r="B146" s="5" t="s">
        <v>4727</v>
      </c>
      <c r="C146" s="5">
        <v>5</v>
      </c>
      <c r="D146" s="5"/>
      <c r="E146" s="3" t="s">
        <v>3414</v>
      </c>
      <c r="F146" s="3">
        <v>18056</v>
      </c>
      <c r="G146" s="14">
        <v>45156.664583333331</v>
      </c>
      <c r="H146" s="14">
        <v>45170.315972222219</v>
      </c>
      <c r="I146" s="3" t="s">
        <v>1427</v>
      </c>
      <c r="J146" s="3" t="s">
        <v>111</v>
      </c>
      <c r="K146" s="3" t="s">
        <v>111</v>
      </c>
      <c r="L146" s="3" t="s">
        <v>111</v>
      </c>
      <c r="M146" s="3" t="s">
        <v>112</v>
      </c>
      <c r="N146" s="3" t="s">
        <v>113</v>
      </c>
      <c r="O146" s="3" t="s">
        <v>113</v>
      </c>
      <c r="P146" s="3">
        <v>0</v>
      </c>
      <c r="Q146" s="3" t="s">
        <v>113</v>
      </c>
      <c r="R146" s="3" t="s">
        <v>114</v>
      </c>
      <c r="S146" s="3" t="s">
        <v>115</v>
      </c>
      <c r="T146" s="3" t="s">
        <v>116</v>
      </c>
      <c r="U146" s="3" t="s">
        <v>117</v>
      </c>
      <c r="V146" s="3" t="s">
        <v>118</v>
      </c>
      <c r="W146" s="7" t="s">
        <v>1458</v>
      </c>
      <c r="X146" s="3" t="s">
        <v>1459</v>
      </c>
      <c r="Y146" s="7" t="s">
        <v>1460</v>
      </c>
      <c r="Z146" s="3" t="s">
        <v>1461</v>
      </c>
      <c r="AA146" s="3" t="s">
        <v>1462</v>
      </c>
      <c r="AB146" s="3" t="s">
        <v>1463</v>
      </c>
      <c r="AC146" s="3" t="s">
        <v>1464</v>
      </c>
      <c r="AD146" s="3" t="s">
        <v>1465</v>
      </c>
      <c r="AE146" s="3" t="s">
        <v>333</v>
      </c>
      <c r="AF146" s="3" t="s">
        <v>143</v>
      </c>
      <c r="AG146" s="3" t="s">
        <v>1466</v>
      </c>
      <c r="AH146" s="3">
        <v>438.48579999999998</v>
      </c>
      <c r="AI146" s="3" t="s">
        <v>1467</v>
      </c>
      <c r="AJ146" s="3" t="s">
        <v>113</v>
      </c>
      <c r="AK146" s="3" t="s">
        <v>113</v>
      </c>
      <c r="AL146" s="3" t="s">
        <v>113</v>
      </c>
      <c r="AM146" s="3" t="s">
        <v>131</v>
      </c>
      <c r="AN146" s="3" t="s">
        <v>3376</v>
      </c>
      <c r="AO146" s="3" t="s">
        <v>3414</v>
      </c>
      <c r="AP146" s="7" t="s">
        <v>1468</v>
      </c>
      <c r="AQ146" s="7">
        <f t="shared" si="22"/>
        <v>0.62690000000000001</v>
      </c>
      <c r="AR146" s="3" t="s">
        <v>1469</v>
      </c>
      <c r="AS146" s="10" t="s">
        <v>1470</v>
      </c>
      <c r="AT146" s="11">
        <f t="shared" si="23"/>
        <v>0.44140000000000001</v>
      </c>
      <c r="AU146" s="3" t="s">
        <v>1471</v>
      </c>
      <c r="AV146" s="12"/>
      <c r="AW146" s="3" t="s">
        <v>1472</v>
      </c>
      <c r="AX146" s="3" t="s">
        <v>1473</v>
      </c>
      <c r="AY146" s="3" t="s">
        <v>278</v>
      </c>
      <c r="AZ146" s="3" t="s">
        <v>1359</v>
      </c>
      <c r="BA146" s="3" t="s">
        <v>1474</v>
      </c>
      <c r="BB146" s="3" t="s">
        <v>1475</v>
      </c>
      <c r="BC146" s="3" t="s">
        <v>1476</v>
      </c>
      <c r="BD146" s="3" t="s">
        <v>1477</v>
      </c>
      <c r="BE146" s="3" t="s">
        <v>1478</v>
      </c>
      <c r="BF146" s="3" t="s">
        <v>1479</v>
      </c>
      <c r="BG146" s="3" t="s">
        <v>1386</v>
      </c>
      <c r="BH146" s="3" t="s">
        <v>1480</v>
      </c>
      <c r="BI146" s="3" t="s">
        <v>1481</v>
      </c>
      <c r="BJ146" s="3" t="s">
        <v>1482</v>
      </c>
      <c r="BK146" s="3" t="s">
        <v>1483</v>
      </c>
      <c r="BL146" s="3" t="s">
        <v>1484</v>
      </c>
      <c r="BM146" s="3" t="s">
        <v>1485</v>
      </c>
      <c r="BN146" s="3" t="s">
        <v>152</v>
      </c>
      <c r="BO146" s="3" t="s">
        <v>152</v>
      </c>
      <c r="BP146" s="3" t="s">
        <v>152</v>
      </c>
      <c r="BQ146" s="3">
        <v>232</v>
      </c>
      <c r="BR146" s="3">
        <v>184</v>
      </c>
      <c r="BS146" s="3">
        <v>81</v>
      </c>
      <c r="BT146" s="3">
        <v>530</v>
      </c>
      <c r="BU146" s="3">
        <v>359</v>
      </c>
      <c r="BV146" s="3">
        <v>491</v>
      </c>
      <c r="BW146" s="3">
        <v>1126</v>
      </c>
      <c r="BX146" s="3" t="s">
        <v>111</v>
      </c>
      <c r="BY146" s="3" t="s">
        <v>153</v>
      </c>
      <c r="BZ146" s="3">
        <v>0</v>
      </c>
      <c r="CA146" s="3" t="s">
        <v>111</v>
      </c>
      <c r="CB146" s="3" t="s">
        <v>111</v>
      </c>
      <c r="CC146" s="3" t="s">
        <v>1457</v>
      </c>
      <c r="CD146" s="3" t="s">
        <v>111</v>
      </c>
      <c r="CE146" s="3">
        <v>5022</v>
      </c>
    </row>
    <row r="147" spans="1:83" s="3" customFormat="1" x14ac:dyDescent="0.2">
      <c r="A147" s="3" t="s">
        <v>3378</v>
      </c>
      <c r="B147" s="5" t="s">
        <v>4727</v>
      </c>
      <c r="C147" s="5">
        <v>5</v>
      </c>
      <c r="D147" s="5"/>
      <c r="E147" s="3" t="s">
        <v>3414</v>
      </c>
      <c r="F147" s="3">
        <v>18058</v>
      </c>
      <c r="G147" s="14">
        <v>45156.697222222225</v>
      </c>
      <c r="H147" s="14">
        <v>45170.318055555559</v>
      </c>
      <c r="I147" s="3" t="s">
        <v>1541</v>
      </c>
      <c r="J147" s="3" t="s">
        <v>111</v>
      </c>
      <c r="K147" s="3" t="s">
        <v>111</v>
      </c>
      <c r="L147" s="3" t="s">
        <v>111</v>
      </c>
      <c r="M147" s="3" t="s">
        <v>112</v>
      </c>
      <c r="N147" s="3" t="s">
        <v>113</v>
      </c>
      <c r="O147" s="3" t="s">
        <v>113</v>
      </c>
      <c r="P147" s="3">
        <v>0</v>
      </c>
      <c r="Q147" s="3" t="s">
        <v>113</v>
      </c>
      <c r="R147" s="3" t="s">
        <v>114</v>
      </c>
      <c r="S147" s="3" t="s">
        <v>115</v>
      </c>
      <c r="T147" s="3" t="s">
        <v>116</v>
      </c>
      <c r="U147" s="3" t="s">
        <v>117</v>
      </c>
      <c r="V147" s="3" t="s">
        <v>118</v>
      </c>
      <c r="W147" s="7" t="s">
        <v>1571</v>
      </c>
      <c r="X147" s="3" t="s">
        <v>915</v>
      </c>
      <c r="Y147" s="7" t="s">
        <v>1572</v>
      </c>
      <c r="Z147" s="3" t="s">
        <v>1573</v>
      </c>
      <c r="AA147" s="3" t="s">
        <v>1574</v>
      </c>
      <c r="AB147" s="3" t="s">
        <v>1575</v>
      </c>
      <c r="AC147" s="3" t="s">
        <v>1576</v>
      </c>
      <c r="AD147" s="3" t="s">
        <v>1577</v>
      </c>
      <c r="AE147" s="3" t="s">
        <v>441</v>
      </c>
      <c r="AF147" s="3" t="s">
        <v>408</v>
      </c>
      <c r="AG147" s="3" t="s">
        <v>1578</v>
      </c>
      <c r="AH147" s="3">
        <v>398.43520000000001</v>
      </c>
      <c r="AI147" s="3" t="s">
        <v>1579</v>
      </c>
      <c r="AJ147" s="3" t="s">
        <v>113</v>
      </c>
      <c r="AK147" s="3" t="s">
        <v>113</v>
      </c>
      <c r="AL147" s="3" t="s">
        <v>113</v>
      </c>
      <c r="AM147" s="3" t="s">
        <v>131</v>
      </c>
      <c r="AN147" s="3" t="s">
        <v>3378</v>
      </c>
      <c r="AO147" s="3" t="s">
        <v>3414</v>
      </c>
      <c r="AP147" s="7" t="s">
        <v>1580</v>
      </c>
      <c r="AQ147" s="7">
        <f t="shared" si="22"/>
        <v>0.71550000000000002</v>
      </c>
      <c r="AR147" s="3" t="s">
        <v>1581</v>
      </c>
      <c r="AS147" s="10" t="s">
        <v>1582</v>
      </c>
      <c r="AT147" s="11">
        <f t="shared" si="23"/>
        <v>0.38069999999999998</v>
      </c>
      <c r="AU147" s="3" t="s">
        <v>1583</v>
      </c>
      <c r="AV147" s="12"/>
      <c r="AW147" s="3" t="s">
        <v>1584</v>
      </c>
      <c r="AX147" s="3" t="s">
        <v>1585</v>
      </c>
      <c r="AY147" s="3" t="s">
        <v>1586</v>
      </c>
      <c r="AZ147" s="3" t="s">
        <v>1587</v>
      </c>
      <c r="BA147" s="3" t="s">
        <v>1588</v>
      </c>
      <c r="BB147" s="3" t="s">
        <v>1589</v>
      </c>
      <c r="BC147" s="3" t="s">
        <v>1590</v>
      </c>
      <c r="BD147" s="3" t="s">
        <v>1591</v>
      </c>
      <c r="BE147" s="3" t="s">
        <v>1592</v>
      </c>
      <c r="BF147" s="3" t="s">
        <v>1593</v>
      </c>
      <c r="BG147" s="3" t="s">
        <v>1594</v>
      </c>
      <c r="BH147" s="3" t="s">
        <v>1094</v>
      </c>
      <c r="BI147" s="3" t="s">
        <v>1546</v>
      </c>
      <c r="BJ147" s="3" t="s">
        <v>1595</v>
      </c>
      <c r="BK147" s="3" t="s">
        <v>1596</v>
      </c>
      <c r="BL147" s="3" t="s">
        <v>1597</v>
      </c>
      <c r="BM147" s="3" t="s">
        <v>1598</v>
      </c>
      <c r="BN147" s="3" t="s">
        <v>152</v>
      </c>
      <c r="BO147" s="3" t="s">
        <v>152</v>
      </c>
      <c r="BP147" s="3" t="s">
        <v>152</v>
      </c>
      <c r="BQ147" s="3">
        <v>192</v>
      </c>
      <c r="BR147" s="3">
        <v>240</v>
      </c>
      <c r="BS147" s="3">
        <v>91</v>
      </c>
      <c r="BT147" s="3">
        <v>1065</v>
      </c>
      <c r="BU147" s="3">
        <v>446</v>
      </c>
      <c r="BV147" s="3">
        <v>391</v>
      </c>
      <c r="BW147" s="3">
        <v>1060</v>
      </c>
      <c r="BX147" s="3" t="s">
        <v>111</v>
      </c>
      <c r="BY147" s="3" t="s">
        <v>153</v>
      </c>
      <c r="BZ147" s="3">
        <v>0</v>
      </c>
      <c r="CA147" s="3" t="s">
        <v>111</v>
      </c>
      <c r="CB147" s="3" t="s">
        <v>111</v>
      </c>
      <c r="CC147" s="3" t="s">
        <v>1570</v>
      </c>
      <c r="CD147" s="3" t="s">
        <v>111</v>
      </c>
      <c r="CE147" s="3">
        <v>5022</v>
      </c>
    </row>
    <row r="148" spans="1:83" s="3" customFormat="1" x14ac:dyDescent="0.2">
      <c r="A148" s="3" t="s">
        <v>3380</v>
      </c>
      <c r="B148" s="5" t="s">
        <v>4727</v>
      </c>
      <c r="C148" s="5">
        <v>5</v>
      </c>
      <c r="D148" s="5"/>
      <c r="E148" s="3" t="s">
        <v>3414</v>
      </c>
      <c r="F148" s="3">
        <v>18060</v>
      </c>
      <c r="G148" s="14">
        <v>45156.752083333333</v>
      </c>
      <c r="H148" s="14">
        <v>45170.320138888892</v>
      </c>
      <c r="I148" s="3" t="s">
        <v>1653</v>
      </c>
      <c r="J148" s="3" t="s">
        <v>111</v>
      </c>
      <c r="K148" s="3" t="s">
        <v>111</v>
      </c>
      <c r="L148" s="3" t="s">
        <v>111</v>
      </c>
      <c r="M148" s="3" t="s">
        <v>112</v>
      </c>
      <c r="N148" s="3" t="s">
        <v>113</v>
      </c>
      <c r="O148" s="3" t="s">
        <v>113</v>
      </c>
      <c r="P148" s="3">
        <v>0</v>
      </c>
      <c r="Q148" s="3" t="s">
        <v>113</v>
      </c>
      <c r="R148" s="3" t="s">
        <v>114</v>
      </c>
      <c r="S148" s="3" t="s">
        <v>115</v>
      </c>
      <c r="T148" s="3" t="s">
        <v>116</v>
      </c>
      <c r="U148" s="3" t="s">
        <v>117</v>
      </c>
      <c r="V148" s="3" t="s">
        <v>118</v>
      </c>
      <c r="W148" s="7" t="s">
        <v>1683</v>
      </c>
      <c r="X148" s="3" t="s">
        <v>1684</v>
      </c>
      <c r="Y148" s="7" t="s">
        <v>1685</v>
      </c>
      <c r="Z148" s="3" t="s">
        <v>1686</v>
      </c>
      <c r="AA148" s="3" t="s">
        <v>1687</v>
      </c>
      <c r="AB148" s="3" t="s">
        <v>1688</v>
      </c>
      <c r="AC148" s="3" t="s">
        <v>1558</v>
      </c>
      <c r="AD148" s="3" t="s">
        <v>1109</v>
      </c>
      <c r="AE148" s="3" t="s">
        <v>1689</v>
      </c>
      <c r="AF148" s="3" t="s">
        <v>1690</v>
      </c>
      <c r="AG148" s="3" t="s">
        <v>1691</v>
      </c>
      <c r="AH148" s="3">
        <v>383.38900000000001</v>
      </c>
      <c r="AI148" s="3" t="s">
        <v>1692</v>
      </c>
      <c r="AJ148" s="3" t="s">
        <v>113</v>
      </c>
      <c r="AK148" s="3" t="s">
        <v>113</v>
      </c>
      <c r="AL148" s="3" t="s">
        <v>113</v>
      </c>
      <c r="AM148" s="3" t="s">
        <v>131</v>
      </c>
      <c r="AN148" s="3" t="s">
        <v>3380</v>
      </c>
      <c r="AO148" s="3" t="s">
        <v>3414</v>
      </c>
      <c r="AP148" s="7" t="s">
        <v>1693</v>
      </c>
      <c r="AQ148" s="7">
        <f t="shared" si="22"/>
        <v>0.73250000000000004</v>
      </c>
      <c r="AR148" s="3" t="s">
        <v>1694</v>
      </c>
      <c r="AS148" s="10" t="s">
        <v>1695</v>
      </c>
      <c r="AT148" s="11">
        <f t="shared" si="23"/>
        <v>0.36520000000000002</v>
      </c>
      <c r="AU148" s="3" t="s">
        <v>1696</v>
      </c>
      <c r="AV148" s="12"/>
      <c r="AW148" s="3" t="s">
        <v>1697</v>
      </c>
      <c r="AX148" s="3" t="s">
        <v>1698</v>
      </c>
      <c r="AY148" s="3" t="s">
        <v>1699</v>
      </c>
      <c r="AZ148" s="3" t="s">
        <v>1700</v>
      </c>
      <c r="BA148" s="3" t="s">
        <v>1701</v>
      </c>
      <c r="BB148" s="3" t="s">
        <v>1702</v>
      </c>
      <c r="BC148" s="3" t="s">
        <v>1703</v>
      </c>
      <c r="BD148" s="3" t="s">
        <v>1704</v>
      </c>
      <c r="BE148" s="3" t="s">
        <v>247</v>
      </c>
      <c r="BF148" s="3" t="s">
        <v>1705</v>
      </c>
      <c r="BG148" s="3" t="s">
        <v>1706</v>
      </c>
      <c r="BH148" s="3" t="s">
        <v>1707</v>
      </c>
      <c r="BI148" s="3" t="s">
        <v>1708</v>
      </c>
      <c r="BJ148" s="3" t="s">
        <v>1709</v>
      </c>
      <c r="BK148" s="3" t="s">
        <v>1710</v>
      </c>
      <c r="BL148" s="3" t="s">
        <v>1540</v>
      </c>
      <c r="BM148" s="3" t="s">
        <v>1307</v>
      </c>
      <c r="BN148" s="3" t="s">
        <v>152</v>
      </c>
      <c r="BO148" s="3" t="s">
        <v>152</v>
      </c>
      <c r="BP148" s="3" t="s">
        <v>152</v>
      </c>
      <c r="BQ148" s="3">
        <v>180</v>
      </c>
      <c r="BR148" s="3">
        <v>244</v>
      </c>
      <c r="BS148" s="3">
        <v>93</v>
      </c>
      <c r="BT148" s="3">
        <v>1344</v>
      </c>
      <c r="BU148" s="3">
        <v>697</v>
      </c>
      <c r="BV148" s="3">
        <v>341</v>
      </c>
      <c r="BW148" s="3">
        <v>1060</v>
      </c>
      <c r="BX148" s="3" t="s">
        <v>111</v>
      </c>
      <c r="BY148" s="3" t="s">
        <v>153</v>
      </c>
      <c r="BZ148" s="3">
        <v>0</v>
      </c>
      <c r="CA148" s="3" t="s">
        <v>111</v>
      </c>
      <c r="CB148" s="3" t="s">
        <v>111</v>
      </c>
      <c r="CC148" s="3" t="s">
        <v>1682</v>
      </c>
      <c r="CD148" s="3" t="s">
        <v>111</v>
      </c>
      <c r="CE148" s="3">
        <v>5022</v>
      </c>
    </row>
    <row r="149" spans="1:83" s="3" customFormat="1" x14ac:dyDescent="0.2">
      <c r="A149" s="3" t="s">
        <v>3373</v>
      </c>
      <c r="B149" s="5" t="s">
        <v>4727</v>
      </c>
      <c r="C149" s="5">
        <v>5</v>
      </c>
      <c r="D149" s="5"/>
      <c r="E149" s="3" t="s">
        <v>3414</v>
      </c>
      <c r="F149" s="3">
        <v>18053</v>
      </c>
      <c r="G149" s="14">
        <v>45156.62777777778</v>
      </c>
      <c r="H149" s="14">
        <v>45170.313888888886</v>
      </c>
      <c r="I149" s="3" t="s">
        <v>1255</v>
      </c>
      <c r="J149" s="3" t="s">
        <v>111</v>
      </c>
      <c r="K149" s="3" t="s">
        <v>111</v>
      </c>
      <c r="L149" s="3" t="s">
        <v>111</v>
      </c>
      <c r="M149" s="3" t="s">
        <v>112</v>
      </c>
      <c r="N149" s="3" t="s">
        <v>113</v>
      </c>
      <c r="O149" s="3" t="s">
        <v>113</v>
      </c>
      <c r="P149" s="3">
        <v>0</v>
      </c>
      <c r="Q149" s="3" t="s">
        <v>113</v>
      </c>
      <c r="R149" s="3" t="s">
        <v>114</v>
      </c>
      <c r="S149" s="3" t="s">
        <v>115</v>
      </c>
      <c r="T149" s="3" t="s">
        <v>116</v>
      </c>
      <c r="U149" s="3" t="s">
        <v>117</v>
      </c>
      <c r="V149" s="3" t="s">
        <v>118</v>
      </c>
      <c r="W149" s="7" t="s">
        <v>1283</v>
      </c>
      <c r="X149" s="3" t="s">
        <v>779</v>
      </c>
      <c r="Y149" s="7" t="s">
        <v>1284</v>
      </c>
      <c r="Z149" s="3" t="s">
        <v>1285</v>
      </c>
      <c r="AA149" s="3" t="s">
        <v>1286</v>
      </c>
      <c r="AB149" s="3" t="s">
        <v>1287</v>
      </c>
      <c r="AC149" s="3" t="s">
        <v>1288</v>
      </c>
      <c r="AD149" s="3" t="s">
        <v>1289</v>
      </c>
      <c r="AE149" s="3" t="s">
        <v>1290</v>
      </c>
      <c r="AF149" s="3" t="s">
        <v>263</v>
      </c>
      <c r="AG149" s="3" t="s">
        <v>1291</v>
      </c>
      <c r="AH149" s="3">
        <v>429.98140000000001</v>
      </c>
      <c r="AI149" s="3" t="s">
        <v>1292</v>
      </c>
      <c r="AJ149" s="3" t="s">
        <v>113</v>
      </c>
      <c r="AK149" s="3" t="s">
        <v>113</v>
      </c>
      <c r="AL149" s="3" t="s">
        <v>113</v>
      </c>
      <c r="AM149" s="3" t="s">
        <v>131</v>
      </c>
      <c r="AN149" s="3" t="s">
        <v>3373</v>
      </c>
      <c r="AO149" s="3" t="s">
        <v>3414</v>
      </c>
      <c r="AP149" s="7" t="s">
        <v>1293</v>
      </c>
      <c r="AQ149" s="7">
        <f t="shared" si="22"/>
        <v>0.64680000000000004</v>
      </c>
      <c r="AR149" s="3" t="s">
        <v>176</v>
      </c>
      <c r="AS149" s="10" t="s">
        <v>1294</v>
      </c>
      <c r="AT149" s="11">
        <f t="shared" si="23"/>
        <v>0.4274</v>
      </c>
      <c r="AU149" s="3" t="s">
        <v>1295</v>
      </c>
      <c r="AV149" s="12"/>
      <c r="AW149" s="3" t="s">
        <v>1296</v>
      </c>
      <c r="AX149" s="3" t="s">
        <v>1297</v>
      </c>
      <c r="AY149" s="3" t="s">
        <v>1298</v>
      </c>
      <c r="AZ149" s="3" t="s">
        <v>716</v>
      </c>
      <c r="BA149" s="3" t="s">
        <v>1299</v>
      </c>
      <c r="BB149" s="3" t="s">
        <v>1300</v>
      </c>
      <c r="BC149" s="3" t="s">
        <v>1301</v>
      </c>
      <c r="BD149" s="3" t="s">
        <v>1302</v>
      </c>
      <c r="BE149" s="3" t="s">
        <v>1303</v>
      </c>
      <c r="BF149" s="3" t="s">
        <v>516</v>
      </c>
      <c r="BG149" s="3" t="s">
        <v>1304</v>
      </c>
      <c r="BH149" s="3" t="s">
        <v>1305</v>
      </c>
      <c r="BI149" s="3" t="s">
        <v>1306</v>
      </c>
      <c r="BJ149" s="3" t="s">
        <v>1307</v>
      </c>
      <c r="BK149" s="3" t="s">
        <v>1308</v>
      </c>
      <c r="BL149" s="3" t="s">
        <v>1309</v>
      </c>
      <c r="BM149" s="3" t="s">
        <v>1310</v>
      </c>
      <c r="BN149" s="3" t="s">
        <v>152</v>
      </c>
      <c r="BO149" s="3" t="s">
        <v>152</v>
      </c>
      <c r="BP149" s="3" t="s">
        <v>152</v>
      </c>
      <c r="BQ149" s="3">
        <v>196</v>
      </c>
      <c r="BR149" s="3">
        <v>188</v>
      </c>
      <c r="BS149" s="3">
        <v>98</v>
      </c>
      <c r="BT149" s="3">
        <v>240</v>
      </c>
      <c r="BU149" s="3">
        <v>854</v>
      </c>
      <c r="BV149" s="3">
        <v>311</v>
      </c>
      <c r="BW149" s="3">
        <v>1060</v>
      </c>
      <c r="BX149" s="3" t="s">
        <v>111</v>
      </c>
      <c r="BY149" s="3" t="s">
        <v>153</v>
      </c>
      <c r="BZ149" s="3">
        <v>0</v>
      </c>
      <c r="CA149" s="3" t="s">
        <v>111</v>
      </c>
      <c r="CB149" s="3" t="s">
        <v>111</v>
      </c>
      <c r="CC149" s="3" t="s">
        <v>1282</v>
      </c>
      <c r="CD149" s="3" t="s">
        <v>111</v>
      </c>
      <c r="CE149" s="3">
        <v>5022</v>
      </c>
    </row>
    <row r="150" spans="1:83" s="3" customFormat="1" x14ac:dyDescent="0.2">
      <c r="A150" s="3" t="s">
        <v>3375</v>
      </c>
      <c r="B150" s="5" t="s">
        <v>4727</v>
      </c>
      <c r="C150" s="5">
        <v>5</v>
      </c>
      <c r="D150" s="5"/>
      <c r="E150" s="3" t="s">
        <v>3414</v>
      </c>
      <c r="F150" s="3">
        <v>18055</v>
      </c>
      <c r="G150" s="14">
        <v>45156.656944444447</v>
      </c>
      <c r="H150" s="14">
        <v>45170.31527777778</v>
      </c>
      <c r="I150" s="3" t="s">
        <v>1369</v>
      </c>
      <c r="J150" s="3" t="s">
        <v>111</v>
      </c>
      <c r="K150" s="3" t="s">
        <v>111</v>
      </c>
      <c r="L150" s="3" t="s">
        <v>111</v>
      </c>
      <c r="M150" s="3" t="s">
        <v>112</v>
      </c>
      <c r="N150" s="3" t="s">
        <v>113</v>
      </c>
      <c r="O150" s="3" t="s">
        <v>113</v>
      </c>
      <c r="P150" s="3">
        <v>0</v>
      </c>
      <c r="Q150" s="3" t="s">
        <v>113</v>
      </c>
      <c r="R150" s="3" t="s">
        <v>114</v>
      </c>
      <c r="S150" s="3" t="s">
        <v>115</v>
      </c>
      <c r="T150" s="3" t="s">
        <v>116</v>
      </c>
      <c r="U150" s="3" t="s">
        <v>117</v>
      </c>
      <c r="V150" s="3" t="s">
        <v>118</v>
      </c>
      <c r="W150" s="7" t="s">
        <v>1398</v>
      </c>
      <c r="X150" s="3" t="s">
        <v>1399</v>
      </c>
      <c r="Y150" s="7" t="s">
        <v>1400</v>
      </c>
      <c r="Z150" s="3" t="s">
        <v>1401</v>
      </c>
      <c r="AA150" s="3" t="s">
        <v>1402</v>
      </c>
      <c r="AB150" s="3" t="s">
        <v>1403</v>
      </c>
      <c r="AC150" s="3" t="s">
        <v>1404</v>
      </c>
      <c r="AD150" s="3" t="s">
        <v>1405</v>
      </c>
      <c r="AE150" s="3" t="s">
        <v>1406</v>
      </c>
      <c r="AF150" s="3" t="s">
        <v>1407</v>
      </c>
      <c r="AG150" s="3" t="s">
        <v>1358</v>
      </c>
      <c r="AH150" s="3">
        <v>418.49689999999998</v>
      </c>
      <c r="AI150" s="3" t="s">
        <v>1408</v>
      </c>
      <c r="AJ150" s="3" t="s">
        <v>113</v>
      </c>
      <c r="AK150" s="3" t="s">
        <v>113</v>
      </c>
      <c r="AL150" s="3" t="s">
        <v>113</v>
      </c>
      <c r="AM150" s="3" t="s">
        <v>131</v>
      </c>
      <c r="AN150" s="3" t="s">
        <v>3375</v>
      </c>
      <c r="AO150" s="3" t="s">
        <v>3414</v>
      </c>
      <c r="AP150" s="7" t="s">
        <v>1409</v>
      </c>
      <c r="AQ150" s="7">
        <f t="shared" si="22"/>
        <v>0.6512</v>
      </c>
      <c r="AR150" s="3" t="s">
        <v>1410</v>
      </c>
      <c r="AS150" s="10" t="s">
        <v>1411</v>
      </c>
      <c r="AT150" s="11">
        <f t="shared" si="23"/>
        <v>0.41249999999999998</v>
      </c>
      <c r="AU150" s="3" t="s">
        <v>1412</v>
      </c>
      <c r="AV150" s="12"/>
      <c r="AW150" s="3" t="s">
        <v>1413</v>
      </c>
      <c r="AX150" s="3" t="s">
        <v>1414</v>
      </c>
      <c r="AY150" s="3" t="s">
        <v>1415</v>
      </c>
      <c r="AZ150" s="3" t="s">
        <v>1416</v>
      </c>
      <c r="BA150" s="3" t="s">
        <v>1417</v>
      </c>
      <c r="BB150" s="3" t="s">
        <v>1418</v>
      </c>
      <c r="BC150" s="3" t="s">
        <v>1419</v>
      </c>
      <c r="BD150" s="3" t="s">
        <v>629</v>
      </c>
      <c r="BE150" s="3" t="s">
        <v>1420</v>
      </c>
      <c r="BF150" s="3" t="s">
        <v>1421</v>
      </c>
      <c r="BG150" s="3" t="s">
        <v>1012</v>
      </c>
      <c r="BH150" s="3" t="s">
        <v>1422</v>
      </c>
      <c r="BI150" s="3" t="s">
        <v>1423</v>
      </c>
      <c r="BJ150" s="3" t="s">
        <v>1247</v>
      </c>
      <c r="BK150" s="3" t="s">
        <v>1424</v>
      </c>
      <c r="BL150" s="3" t="s">
        <v>1425</v>
      </c>
      <c r="BM150" s="3" t="s">
        <v>1426</v>
      </c>
      <c r="BN150" s="3" t="s">
        <v>152</v>
      </c>
      <c r="BO150" s="3" t="s">
        <v>152</v>
      </c>
      <c r="BP150" s="3" t="s">
        <v>152</v>
      </c>
      <c r="BQ150" s="3">
        <v>196</v>
      </c>
      <c r="BR150" s="3">
        <v>192</v>
      </c>
      <c r="BS150" s="3">
        <v>91</v>
      </c>
      <c r="BT150" s="3">
        <v>490</v>
      </c>
      <c r="BU150" s="3">
        <v>475</v>
      </c>
      <c r="BV150" s="3">
        <v>519</v>
      </c>
      <c r="BW150" s="3">
        <v>1070</v>
      </c>
      <c r="BX150" s="3" t="s">
        <v>111</v>
      </c>
      <c r="BY150" s="3" t="s">
        <v>153</v>
      </c>
      <c r="BZ150" s="3">
        <v>0</v>
      </c>
      <c r="CA150" s="3" t="s">
        <v>111</v>
      </c>
      <c r="CB150" s="3" t="s">
        <v>111</v>
      </c>
      <c r="CC150" s="3" t="s">
        <v>1397</v>
      </c>
      <c r="CD150" s="3" t="s">
        <v>111</v>
      </c>
      <c r="CE150" s="3">
        <v>5022</v>
      </c>
    </row>
    <row r="151" spans="1:83" s="3" customFormat="1" x14ac:dyDescent="0.2">
      <c r="A151" s="3" t="s">
        <v>3377</v>
      </c>
      <c r="B151" s="5" t="s">
        <v>4727</v>
      </c>
      <c r="C151" s="5">
        <v>5</v>
      </c>
      <c r="D151" s="5"/>
      <c r="E151" s="3" t="s">
        <v>3414</v>
      </c>
      <c r="F151" s="3">
        <v>18057</v>
      </c>
      <c r="G151" s="14">
        <v>45156.686805555553</v>
      </c>
      <c r="H151" s="14">
        <v>45170.317361111112</v>
      </c>
      <c r="I151" s="3" t="s">
        <v>1486</v>
      </c>
      <c r="J151" s="3" t="s">
        <v>111</v>
      </c>
      <c r="K151" s="3" t="s">
        <v>111</v>
      </c>
      <c r="L151" s="3" t="s">
        <v>111</v>
      </c>
      <c r="M151" s="3" t="s">
        <v>112</v>
      </c>
      <c r="N151" s="3" t="s">
        <v>113</v>
      </c>
      <c r="O151" s="3" t="s">
        <v>113</v>
      </c>
      <c r="P151" s="3">
        <v>0</v>
      </c>
      <c r="Q151" s="3" t="s">
        <v>113</v>
      </c>
      <c r="R151" s="3" t="s">
        <v>114</v>
      </c>
      <c r="S151" s="3" t="s">
        <v>115</v>
      </c>
      <c r="T151" s="3" t="s">
        <v>116</v>
      </c>
      <c r="U151" s="3" t="s">
        <v>117</v>
      </c>
      <c r="V151" s="3" t="s">
        <v>118</v>
      </c>
      <c r="W151" s="7" t="s">
        <v>1516</v>
      </c>
      <c r="X151" s="3" t="s">
        <v>774</v>
      </c>
      <c r="Y151" s="7" t="s">
        <v>1517</v>
      </c>
      <c r="Z151" s="3" t="s">
        <v>1518</v>
      </c>
      <c r="AA151" s="3" t="s">
        <v>1011</v>
      </c>
      <c r="AB151" s="3" t="s">
        <v>1519</v>
      </c>
      <c r="AC151" s="3" t="s">
        <v>1520</v>
      </c>
      <c r="AD151" s="3" t="s">
        <v>439</v>
      </c>
      <c r="AE151" s="3" t="s">
        <v>1521</v>
      </c>
      <c r="AF151" s="3" t="s">
        <v>263</v>
      </c>
      <c r="AG151" s="3" t="s">
        <v>1114</v>
      </c>
      <c r="AH151" s="3">
        <v>397.12689999999998</v>
      </c>
      <c r="AI151" s="3" t="s">
        <v>1522</v>
      </c>
      <c r="AJ151" s="3" t="s">
        <v>113</v>
      </c>
      <c r="AK151" s="3" t="s">
        <v>113</v>
      </c>
      <c r="AL151" s="3" t="s">
        <v>113</v>
      </c>
      <c r="AM151" s="3" t="s">
        <v>131</v>
      </c>
      <c r="AN151" s="3" t="s">
        <v>3377</v>
      </c>
      <c r="AO151" s="3" t="s">
        <v>3414</v>
      </c>
      <c r="AP151" s="7" t="s">
        <v>1523</v>
      </c>
      <c r="AQ151" s="7">
        <f t="shared" si="22"/>
        <v>0.69440000000000002</v>
      </c>
      <c r="AR151" s="3" t="s">
        <v>1524</v>
      </c>
      <c r="AS151" s="10" t="s">
        <v>1525</v>
      </c>
      <c r="AT151" s="11">
        <f t="shared" si="23"/>
        <v>0.37269999999999998</v>
      </c>
      <c r="AU151" s="3" t="s">
        <v>1526</v>
      </c>
      <c r="AV151" s="12"/>
      <c r="AW151" s="3" t="s">
        <v>1527</v>
      </c>
      <c r="AX151" s="3" t="s">
        <v>1528</v>
      </c>
      <c r="AY151" s="3" t="s">
        <v>1529</v>
      </c>
      <c r="AZ151" s="3" t="s">
        <v>1309</v>
      </c>
      <c r="BA151" s="3" t="s">
        <v>1530</v>
      </c>
      <c r="BB151" s="3" t="s">
        <v>1531</v>
      </c>
      <c r="BC151" s="3" t="s">
        <v>1506</v>
      </c>
      <c r="BD151" s="3" t="s">
        <v>1532</v>
      </c>
      <c r="BE151" s="3" t="s">
        <v>1533</v>
      </c>
      <c r="BF151" s="3" t="s">
        <v>1534</v>
      </c>
      <c r="BG151" s="3" t="s">
        <v>1535</v>
      </c>
      <c r="BH151" s="3" t="s">
        <v>1536</v>
      </c>
      <c r="BI151" s="3" t="s">
        <v>1537</v>
      </c>
      <c r="BJ151" s="3" t="s">
        <v>1508</v>
      </c>
      <c r="BK151" s="3" t="s">
        <v>1538</v>
      </c>
      <c r="BL151" s="3" t="s">
        <v>1539</v>
      </c>
      <c r="BM151" s="3" t="s">
        <v>1540</v>
      </c>
      <c r="BN151" s="3" t="s">
        <v>152</v>
      </c>
      <c r="BO151" s="3" t="s">
        <v>152</v>
      </c>
      <c r="BP151" s="3" t="s">
        <v>152</v>
      </c>
      <c r="BQ151" s="3">
        <v>228</v>
      </c>
      <c r="BR151" s="3">
        <v>172</v>
      </c>
      <c r="BS151" s="3">
        <v>97</v>
      </c>
      <c r="BT151" s="3">
        <v>917</v>
      </c>
      <c r="BU151" s="3">
        <v>333</v>
      </c>
      <c r="BV151" s="3">
        <v>631</v>
      </c>
      <c r="BW151" s="3">
        <v>1126</v>
      </c>
      <c r="BX151" s="3" t="s">
        <v>111</v>
      </c>
      <c r="BY151" s="3" t="s">
        <v>153</v>
      </c>
      <c r="BZ151" s="3">
        <v>0</v>
      </c>
      <c r="CA151" s="3" t="s">
        <v>111</v>
      </c>
      <c r="CB151" s="3" t="s">
        <v>111</v>
      </c>
      <c r="CC151" s="3" t="s">
        <v>1515</v>
      </c>
      <c r="CD151" s="3" t="s">
        <v>111</v>
      </c>
      <c r="CE151" s="3">
        <v>5022</v>
      </c>
    </row>
    <row r="152" spans="1:83" s="3" customFormat="1" x14ac:dyDescent="0.2">
      <c r="A152" s="3" t="s">
        <v>3379</v>
      </c>
      <c r="B152" s="5" t="s">
        <v>4727</v>
      </c>
      <c r="C152" s="5">
        <v>5</v>
      </c>
      <c r="D152" s="5"/>
      <c r="E152" s="3" t="s">
        <v>3414</v>
      </c>
      <c r="F152" s="3">
        <v>18059</v>
      </c>
      <c r="G152" s="14">
        <v>45156.720833333333</v>
      </c>
      <c r="H152" s="14">
        <v>45170.318749999999</v>
      </c>
      <c r="I152" s="3" t="s">
        <v>1599</v>
      </c>
      <c r="J152" s="3" t="s">
        <v>111</v>
      </c>
      <c r="K152" s="3" t="s">
        <v>111</v>
      </c>
      <c r="L152" s="3" t="s">
        <v>111</v>
      </c>
      <c r="M152" s="3" t="s">
        <v>112</v>
      </c>
      <c r="N152" s="3" t="s">
        <v>113</v>
      </c>
      <c r="O152" s="3" t="s">
        <v>113</v>
      </c>
      <c r="P152" s="3">
        <v>0</v>
      </c>
      <c r="Q152" s="3" t="s">
        <v>113</v>
      </c>
      <c r="R152" s="3" t="s">
        <v>114</v>
      </c>
      <c r="S152" s="3" t="s">
        <v>115</v>
      </c>
      <c r="T152" s="3" t="s">
        <v>116</v>
      </c>
      <c r="U152" s="3" t="s">
        <v>117</v>
      </c>
      <c r="V152" s="3" t="s">
        <v>118</v>
      </c>
      <c r="W152" s="7" t="s">
        <v>1628</v>
      </c>
      <c r="X152" s="3" t="s">
        <v>1459</v>
      </c>
      <c r="Y152" s="7" t="s">
        <v>1629</v>
      </c>
      <c r="Z152" s="3" t="s">
        <v>1630</v>
      </c>
      <c r="AA152" s="3" t="s">
        <v>1631</v>
      </c>
      <c r="AB152" s="3" t="s">
        <v>1632</v>
      </c>
      <c r="AC152" s="3" t="s">
        <v>1291</v>
      </c>
      <c r="AD152" s="3" t="s">
        <v>1633</v>
      </c>
      <c r="AE152" s="3" t="s">
        <v>464</v>
      </c>
      <c r="AF152" s="3" t="s">
        <v>1634</v>
      </c>
      <c r="AG152" s="3" t="s">
        <v>490</v>
      </c>
      <c r="AH152" s="3">
        <v>370.45069999999998</v>
      </c>
      <c r="AI152" s="3" t="s">
        <v>1635</v>
      </c>
      <c r="AJ152" s="3" t="s">
        <v>113</v>
      </c>
      <c r="AK152" s="3" t="s">
        <v>113</v>
      </c>
      <c r="AL152" s="3" t="s">
        <v>113</v>
      </c>
      <c r="AM152" s="3" t="s">
        <v>131</v>
      </c>
      <c r="AN152" s="3" t="s">
        <v>3379</v>
      </c>
      <c r="AO152" s="3" t="s">
        <v>3414</v>
      </c>
      <c r="AP152" s="7" t="s">
        <v>1636</v>
      </c>
      <c r="AQ152" s="7">
        <f t="shared" si="22"/>
        <v>0.78820000000000001</v>
      </c>
      <c r="AR152" s="3" t="s">
        <v>1637</v>
      </c>
      <c r="AS152" s="10" t="s">
        <v>1638</v>
      </c>
      <c r="AT152" s="11">
        <f t="shared" si="23"/>
        <v>0.34870000000000001</v>
      </c>
      <c r="AU152" s="3" t="s">
        <v>1639</v>
      </c>
      <c r="AV152" s="12"/>
      <c r="AW152" s="3" t="s">
        <v>1640</v>
      </c>
      <c r="AX152" s="3" t="s">
        <v>1641</v>
      </c>
      <c r="AY152" s="3" t="s">
        <v>974</v>
      </c>
      <c r="AZ152" s="3" t="s">
        <v>1642</v>
      </c>
      <c r="BA152" s="3" t="s">
        <v>1643</v>
      </c>
      <c r="BB152" s="3" t="s">
        <v>221</v>
      </c>
      <c r="BC152" s="3" t="s">
        <v>1644</v>
      </c>
      <c r="BD152" s="3" t="s">
        <v>1645</v>
      </c>
      <c r="BE152" s="3" t="s">
        <v>1646</v>
      </c>
      <c r="BF152" s="3" t="s">
        <v>1450</v>
      </c>
      <c r="BG152" s="3" t="s">
        <v>1647</v>
      </c>
      <c r="BH152" s="3" t="s">
        <v>816</v>
      </c>
      <c r="BI152" s="3" t="s">
        <v>1648</v>
      </c>
      <c r="BJ152" s="3" t="s">
        <v>1649</v>
      </c>
      <c r="BK152" s="3" t="s">
        <v>1650</v>
      </c>
      <c r="BL152" s="3" t="s">
        <v>1651</v>
      </c>
      <c r="BM152" s="3" t="s">
        <v>1652</v>
      </c>
      <c r="BN152" s="3" t="s">
        <v>152</v>
      </c>
      <c r="BO152" s="3" t="s">
        <v>152</v>
      </c>
      <c r="BP152" s="3" t="s">
        <v>152</v>
      </c>
      <c r="BQ152" s="3">
        <v>212</v>
      </c>
      <c r="BR152" s="3">
        <v>196</v>
      </c>
      <c r="BS152" s="3">
        <v>93</v>
      </c>
      <c r="BT152" s="3">
        <v>1157</v>
      </c>
      <c r="BU152" s="3">
        <v>603</v>
      </c>
      <c r="BV152" s="3">
        <v>301</v>
      </c>
      <c r="BW152" s="3">
        <v>830</v>
      </c>
      <c r="BX152" s="3" t="s">
        <v>111</v>
      </c>
      <c r="BY152" s="3" t="s">
        <v>153</v>
      </c>
      <c r="BZ152" s="3">
        <v>0</v>
      </c>
      <c r="CA152" s="3" t="s">
        <v>111</v>
      </c>
      <c r="CB152" s="3" t="s">
        <v>111</v>
      </c>
      <c r="CC152" s="3" t="s">
        <v>1627</v>
      </c>
      <c r="CD152" s="3" t="s">
        <v>111</v>
      </c>
      <c r="CE152" s="3">
        <v>5022</v>
      </c>
    </row>
    <row r="153" spans="1:83" s="3" customFormat="1" x14ac:dyDescent="0.2">
      <c r="B153" s="5"/>
      <c r="C153" s="5"/>
      <c r="D153" s="5"/>
      <c r="G153" s="14"/>
      <c r="H153" s="14"/>
      <c r="W153" s="7"/>
      <c r="Y153" s="7"/>
      <c r="AP153" s="7"/>
      <c r="AQ153" s="7"/>
      <c r="AS153" s="10"/>
      <c r="AT153" s="11"/>
      <c r="AV153" s="12"/>
    </row>
    <row r="154" spans="1:83" s="3" customFormat="1" x14ac:dyDescent="0.2">
      <c r="A154" s="3" t="s">
        <v>3382</v>
      </c>
      <c r="B154" s="5" t="s">
        <v>4727</v>
      </c>
      <c r="C154" s="5">
        <v>28</v>
      </c>
      <c r="D154" s="5"/>
      <c r="E154" s="3" t="s">
        <v>3414</v>
      </c>
      <c r="F154" s="3">
        <v>18062</v>
      </c>
      <c r="G154" s="14">
        <v>45156.795138888891</v>
      </c>
      <c r="H154" s="14">
        <v>45175.697222222225</v>
      </c>
      <c r="I154" s="3" t="s">
        <v>1772</v>
      </c>
      <c r="J154" s="3" t="s">
        <v>111</v>
      </c>
      <c r="K154" s="3" t="s">
        <v>111</v>
      </c>
      <c r="L154" s="3" t="s">
        <v>111</v>
      </c>
      <c r="M154" s="3" t="s">
        <v>112</v>
      </c>
      <c r="N154" s="3" t="s">
        <v>113</v>
      </c>
      <c r="O154" s="3" t="s">
        <v>113</v>
      </c>
      <c r="P154" s="3">
        <v>0</v>
      </c>
      <c r="Q154" s="3" t="s">
        <v>113</v>
      </c>
      <c r="R154" s="3" t="s">
        <v>114</v>
      </c>
      <c r="S154" s="3" t="s">
        <v>115</v>
      </c>
      <c r="T154" s="3" t="s">
        <v>116</v>
      </c>
      <c r="U154" s="3" t="s">
        <v>117</v>
      </c>
      <c r="V154" s="3" t="s">
        <v>118</v>
      </c>
      <c r="W154" s="7" t="s">
        <v>1799</v>
      </c>
      <c r="X154" s="3" t="s">
        <v>234</v>
      </c>
      <c r="Y154" s="7" t="s">
        <v>1800</v>
      </c>
      <c r="Z154" s="3" t="s">
        <v>1801</v>
      </c>
      <c r="AA154" s="3" t="s">
        <v>1802</v>
      </c>
      <c r="AB154" s="3" t="s">
        <v>1803</v>
      </c>
      <c r="AC154" s="3" t="s">
        <v>1804</v>
      </c>
      <c r="AD154" s="3" t="s">
        <v>1805</v>
      </c>
      <c r="AE154" s="3" t="s">
        <v>1448</v>
      </c>
      <c r="AF154" s="3" t="s">
        <v>1806</v>
      </c>
      <c r="AG154" s="3" t="s">
        <v>1807</v>
      </c>
      <c r="AH154" s="3">
        <v>243.68459999999999</v>
      </c>
      <c r="AI154" s="3" t="s">
        <v>1808</v>
      </c>
      <c r="AJ154" s="3" t="s">
        <v>113</v>
      </c>
      <c r="AK154" s="3" t="s">
        <v>113</v>
      </c>
      <c r="AL154" s="3" t="s">
        <v>113</v>
      </c>
      <c r="AM154" s="3" t="s">
        <v>131</v>
      </c>
      <c r="AN154" s="3" t="s">
        <v>3382</v>
      </c>
      <c r="AO154" s="3" t="s">
        <v>3414</v>
      </c>
      <c r="AP154" s="7" t="s">
        <v>1809</v>
      </c>
      <c r="AQ154" s="7">
        <f t="shared" si="22"/>
        <v>1.0241</v>
      </c>
      <c r="AR154" s="3" t="s">
        <v>1810</v>
      </c>
      <c r="AS154" s="10" t="s">
        <v>1800</v>
      </c>
      <c r="AT154" s="11">
        <f t="shared" si="23"/>
        <v>0.187</v>
      </c>
      <c r="AU154" s="3" t="s">
        <v>1811</v>
      </c>
      <c r="AV154" s="12"/>
      <c r="AW154" s="3" t="s">
        <v>1812</v>
      </c>
      <c r="AX154" s="3" t="s">
        <v>1813</v>
      </c>
      <c r="AY154" s="3" t="s">
        <v>1814</v>
      </c>
      <c r="AZ154" s="3" t="s">
        <v>1815</v>
      </c>
      <c r="BA154" s="3" t="s">
        <v>1816</v>
      </c>
      <c r="BB154" s="3" t="s">
        <v>1817</v>
      </c>
      <c r="BC154" s="3" t="s">
        <v>1818</v>
      </c>
      <c r="BD154" s="3" t="s">
        <v>1819</v>
      </c>
      <c r="BE154" s="3" t="s">
        <v>1820</v>
      </c>
      <c r="BF154" s="3" t="s">
        <v>1821</v>
      </c>
      <c r="BG154" s="3" t="s">
        <v>1822</v>
      </c>
      <c r="BH154" s="3" t="s">
        <v>1823</v>
      </c>
      <c r="BI154" s="3" t="s">
        <v>1824</v>
      </c>
      <c r="BJ154" s="3" t="s">
        <v>1825</v>
      </c>
      <c r="BK154" s="3" t="s">
        <v>1404</v>
      </c>
      <c r="BL154" s="3" t="s">
        <v>1826</v>
      </c>
      <c r="BM154" s="3" t="s">
        <v>1827</v>
      </c>
      <c r="BN154" s="3" t="s">
        <v>152</v>
      </c>
      <c r="BO154" s="3" t="s">
        <v>152</v>
      </c>
      <c r="BP154" s="3" t="s">
        <v>152</v>
      </c>
      <c r="BQ154" s="3">
        <v>204</v>
      </c>
      <c r="BR154" s="3">
        <v>196</v>
      </c>
      <c r="BS154" s="3">
        <v>120</v>
      </c>
      <c r="BT154" s="3">
        <v>1185</v>
      </c>
      <c r="BU154" s="3">
        <v>1237</v>
      </c>
      <c r="BV154" s="3">
        <v>251</v>
      </c>
      <c r="BW154" s="3">
        <v>950</v>
      </c>
      <c r="BX154" s="3" t="s">
        <v>111</v>
      </c>
      <c r="BY154" s="3" t="s">
        <v>153</v>
      </c>
      <c r="BZ154" s="3">
        <v>0</v>
      </c>
      <c r="CA154" s="3" t="s">
        <v>111</v>
      </c>
      <c r="CB154" s="3" t="s">
        <v>111</v>
      </c>
      <c r="CC154" s="3" t="s">
        <v>1798</v>
      </c>
      <c r="CD154" s="3" t="s">
        <v>111</v>
      </c>
      <c r="CE154" s="3">
        <v>5022</v>
      </c>
    </row>
    <row r="155" spans="1:83" s="3" customFormat="1" x14ac:dyDescent="0.2">
      <c r="A155" s="3" t="s">
        <v>3384</v>
      </c>
      <c r="B155" s="5" t="s">
        <v>4727</v>
      </c>
      <c r="C155" s="5">
        <v>28</v>
      </c>
      <c r="D155" s="5"/>
      <c r="E155" s="3" t="s">
        <v>3414</v>
      </c>
      <c r="F155" s="3">
        <v>18064</v>
      </c>
      <c r="G155" s="14">
        <v>45159.52847222222</v>
      </c>
      <c r="H155" s="14">
        <v>45175.716666666667</v>
      </c>
      <c r="I155" s="3" t="s">
        <v>1883</v>
      </c>
      <c r="J155" s="3" t="s">
        <v>111</v>
      </c>
      <c r="K155" s="3" t="s">
        <v>111</v>
      </c>
      <c r="L155" s="3" t="s">
        <v>111</v>
      </c>
      <c r="M155" s="3" t="s">
        <v>112</v>
      </c>
      <c r="N155" s="3" t="s">
        <v>113</v>
      </c>
      <c r="O155" s="3" t="s">
        <v>113</v>
      </c>
      <c r="P155" s="3">
        <v>0</v>
      </c>
      <c r="Q155" s="3" t="s">
        <v>113</v>
      </c>
      <c r="R155" s="3" t="s">
        <v>114</v>
      </c>
      <c r="S155" s="3" t="s">
        <v>115</v>
      </c>
      <c r="T155" s="3" t="s">
        <v>116</v>
      </c>
      <c r="U155" s="3" t="s">
        <v>117</v>
      </c>
      <c r="V155" s="3" t="s">
        <v>118</v>
      </c>
      <c r="W155" s="7" t="s">
        <v>1912</v>
      </c>
      <c r="X155" s="3" t="s">
        <v>1913</v>
      </c>
      <c r="Y155" s="7" t="s">
        <v>1914</v>
      </c>
      <c r="Z155" s="3" t="s">
        <v>1915</v>
      </c>
      <c r="AA155" s="3" t="s">
        <v>1916</v>
      </c>
      <c r="AB155" s="3" t="s">
        <v>1917</v>
      </c>
      <c r="AC155" s="3" t="s">
        <v>1918</v>
      </c>
      <c r="AD155" s="3" t="s">
        <v>1919</v>
      </c>
      <c r="AE155" s="3" t="s">
        <v>1920</v>
      </c>
      <c r="AF155" s="3" t="s">
        <v>1921</v>
      </c>
      <c r="AG155" s="3" t="s">
        <v>1922</v>
      </c>
      <c r="AH155" s="3">
        <v>218.3895</v>
      </c>
      <c r="AI155" s="3" t="s">
        <v>1923</v>
      </c>
      <c r="AJ155" s="3" t="s">
        <v>113</v>
      </c>
      <c r="AK155" s="3" t="s">
        <v>113</v>
      </c>
      <c r="AL155" s="3" t="s">
        <v>113</v>
      </c>
      <c r="AM155" s="3" t="s">
        <v>131</v>
      </c>
      <c r="AN155" s="3" t="s">
        <v>3384</v>
      </c>
      <c r="AO155" s="3" t="s">
        <v>3414</v>
      </c>
      <c r="AP155" s="7" t="s">
        <v>1924</v>
      </c>
      <c r="AQ155" s="7">
        <f t="shared" si="22"/>
        <v>1.0195000000000001</v>
      </c>
      <c r="AR155" s="3" t="s">
        <v>1127</v>
      </c>
      <c r="AS155" s="10" t="s">
        <v>439</v>
      </c>
      <c r="AT155" s="11">
        <f t="shared" si="23"/>
        <v>0.1734</v>
      </c>
      <c r="AU155" s="3" t="s">
        <v>1925</v>
      </c>
      <c r="AV155" s="12"/>
      <c r="AW155" s="3" t="s">
        <v>1926</v>
      </c>
      <c r="AX155" s="3" t="s">
        <v>1927</v>
      </c>
      <c r="AY155" s="3" t="s">
        <v>1928</v>
      </c>
      <c r="AZ155" s="3" t="s">
        <v>1929</v>
      </c>
      <c r="BA155" s="3" t="s">
        <v>1930</v>
      </c>
      <c r="BB155" s="3" t="s">
        <v>440</v>
      </c>
      <c r="BC155" s="3" t="s">
        <v>1931</v>
      </c>
      <c r="BD155" s="3" t="s">
        <v>1932</v>
      </c>
      <c r="BE155" s="3" t="s">
        <v>1933</v>
      </c>
      <c r="BF155" s="3" t="s">
        <v>1533</v>
      </c>
      <c r="BG155" s="3" t="s">
        <v>1934</v>
      </c>
      <c r="BH155" s="3" t="s">
        <v>1935</v>
      </c>
      <c r="BI155" s="3" t="s">
        <v>1936</v>
      </c>
      <c r="BJ155" s="3" t="s">
        <v>1937</v>
      </c>
      <c r="BK155" s="3" t="s">
        <v>1938</v>
      </c>
      <c r="BL155" s="3" t="s">
        <v>1939</v>
      </c>
      <c r="BM155" s="3" t="s">
        <v>1940</v>
      </c>
      <c r="BN155" s="3" t="s">
        <v>152</v>
      </c>
      <c r="BO155" s="3" t="s">
        <v>152</v>
      </c>
      <c r="BP155" s="3" t="s">
        <v>152</v>
      </c>
      <c r="BQ155" s="3">
        <v>184</v>
      </c>
      <c r="BR155" s="3">
        <v>252</v>
      </c>
      <c r="BS155" s="3">
        <v>83</v>
      </c>
      <c r="BT155" s="3">
        <v>1075</v>
      </c>
      <c r="BU155" s="3">
        <v>1424</v>
      </c>
      <c r="BV155" s="3">
        <v>491</v>
      </c>
      <c r="BW155" s="3">
        <v>1100</v>
      </c>
      <c r="BX155" s="3" t="s">
        <v>111</v>
      </c>
      <c r="BY155" s="3" t="s">
        <v>153</v>
      </c>
      <c r="BZ155" s="3">
        <v>0</v>
      </c>
      <c r="CA155" s="3" t="s">
        <v>111</v>
      </c>
      <c r="CB155" s="3" t="s">
        <v>111</v>
      </c>
      <c r="CC155" s="3" t="s">
        <v>1911</v>
      </c>
      <c r="CD155" s="3" t="s">
        <v>111</v>
      </c>
      <c r="CE155" s="3">
        <v>5022</v>
      </c>
    </row>
    <row r="156" spans="1:83" s="3" customFormat="1" x14ac:dyDescent="0.2">
      <c r="A156" s="3" t="s">
        <v>3386</v>
      </c>
      <c r="B156" s="5" t="s">
        <v>4727</v>
      </c>
      <c r="C156" s="5">
        <v>28</v>
      </c>
      <c r="D156" s="5"/>
      <c r="E156" s="3" t="s">
        <v>3414</v>
      </c>
      <c r="F156" s="3">
        <v>18066</v>
      </c>
      <c r="G156" s="14">
        <v>45159.570138888892</v>
      </c>
      <c r="H156" s="14">
        <v>45175.738194444442</v>
      </c>
      <c r="I156" s="3" t="s">
        <v>1997</v>
      </c>
      <c r="J156" s="3" t="s">
        <v>111</v>
      </c>
      <c r="K156" s="3" t="s">
        <v>111</v>
      </c>
      <c r="L156" s="3" t="s">
        <v>111</v>
      </c>
      <c r="M156" s="3" t="s">
        <v>112</v>
      </c>
      <c r="N156" s="3" t="s">
        <v>113</v>
      </c>
      <c r="O156" s="3" t="s">
        <v>113</v>
      </c>
      <c r="P156" s="3">
        <v>0</v>
      </c>
      <c r="Q156" s="3" t="s">
        <v>113</v>
      </c>
      <c r="R156" s="3" t="s">
        <v>114</v>
      </c>
      <c r="S156" s="3" t="s">
        <v>115</v>
      </c>
      <c r="T156" s="3" t="s">
        <v>116</v>
      </c>
      <c r="U156" s="3" t="s">
        <v>117</v>
      </c>
      <c r="V156" s="3" t="s">
        <v>118</v>
      </c>
      <c r="W156" s="7" t="s">
        <v>2028</v>
      </c>
      <c r="X156" s="3" t="s">
        <v>2029</v>
      </c>
      <c r="Y156" s="7" t="s">
        <v>2030</v>
      </c>
      <c r="Z156" s="3" t="s">
        <v>2031</v>
      </c>
      <c r="AA156" s="3" t="s">
        <v>2032</v>
      </c>
      <c r="AB156" s="3" t="s">
        <v>2033</v>
      </c>
      <c r="AC156" s="3" t="s">
        <v>700</v>
      </c>
      <c r="AD156" s="3" t="s">
        <v>2034</v>
      </c>
      <c r="AE156" s="3" t="s">
        <v>2035</v>
      </c>
      <c r="AF156" s="3" t="s">
        <v>2036</v>
      </c>
      <c r="AG156" s="3" t="s">
        <v>2037</v>
      </c>
      <c r="AH156" s="3">
        <v>183.71780000000001</v>
      </c>
      <c r="AI156" s="3" t="s">
        <v>2038</v>
      </c>
      <c r="AJ156" s="3" t="s">
        <v>113</v>
      </c>
      <c r="AK156" s="3" t="s">
        <v>113</v>
      </c>
      <c r="AL156" s="3" t="s">
        <v>113</v>
      </c>
      <c r="AM156" s="3" t="s">
        <v>131</v>
      </c>
      <c r="AN156" s="3" t="s">
        <v>3386</v>
      </c>
      <c r="AO156" s="3" t="s">
        <v>3414</v>
      </c>
      <c r="AP156" s="7" t="s">
        <v>2039</v>
      </c>
      <c r="AQ156" s="7">
        <f t="shared" si="22"/>
        <v>1.3433999999999999</v>
      </c>
      <c r="AR156" s="3" t="s">
        <v>1754</v>
      </c>
      <c r="AS156" s="10" t="s">
        <v>1040</v>
      </c>
      <c r="AT156" s="11">
        <f t="shared" si="23"/>
        <v>0.13750000000000001</v>
      </c>
      <c r="AU156" s="3" t="s">
        <v>2040</v>
      </c>
      <c r="AV156" s="12"/>
      <c r="AW156" s="3" t="s">
        <v>2041</v>
      </c>
      <c r="AX156" s="3" t="s">
        <v>2042</v>
      </c>
      <c r="AY156" s="3" t="s">
        <v>205</v>
      </c>
      <c r="AZ156" s="3" t="s">
        <v>2043</v>
      </c>
      <c r="BA156" s="3" t="s">
        <v>2044</v>
      </c>
      <c r="BB156" s="3" t="s">
        <v>2045</v>
      </c>
      <c r="BC156" s="3" t="s">
        <v>2046</v>
      </c>
      <c r="BD156" s="3" t="s">
        <v>2047</v>
      </c>
      <c r="BE156" s="3" t="s">
        <v>2048</v>
      </c>
      <c r="BF156" s="3" t="s">
        <v>2049</v>
      </c>
      <c r="BG156" s="3" t="s">
        <v>2050</v>
      </c>
      <c r="BH156" s="3" t="s">
        <v>2051</v>
      </c>
      <c r="BI156" s="3" t="s">
        <v>2052</v>
      </c>
      <c r="BJ156" s="3" t="s">
        <v>2053</v>
      </c>
      <c r="BK156" s="3" t="s">
        <v>2054</v>
      </c>
      <c r="BL156" s="3" t="s">
        <v>1569</v>
      </c>
      <c r="BM156" s="3" t="s">
        <v>2055</v>
      </c>
      <c r="BN156" s="3" t="s">
        <v>152</v>
      </c>
      <c r="BO156" s="3" t="s">
        <v>152</v>
      </c>
      <c r="BP156" s="3" t="s">
        <v>152</v>
      </c>
      <c r="BQ156" s="3">
        <v>232</v>
      </c>
      <c r="BR156" s="3">
        <v>204</v>
      </c>
      <c r="BS156" s="3">
        <v>94</v>
      </c>
      <c r="BT156" s="3">
        <v>571</v>
      </c>
      <c r="BU156" s="3">
        <v>1507</v>
      </c>
      <c r="BV156" s="3">
        <v>656</v>
      </c>
      <c r="BW156" s="3">
        <v>1126</v>
      </c>
      <c r="BX156" s="3" t="s">
        <v>111</v>
      </c>
      <c r="BY156" s="3" t="s">
        <v>153</v>
      </c>
      <c r="BZ156" s="3">
        <v>0</v>
      </c>
      <c r="CA156" s="3" t="s">
        <v>111</v>
      </c>
      <c r="CB156" s="3" t="s">
        <v>111</v>
      </c>
      <c r="CC156" s="3" t="s">
        <v>2027</v>
      </c>
      <c r="CD156" s="3" t="s">
        <v>111</v>
      </c>
      <c r="CE156" s="3">
        <v>5022</v>
      </c>
    </row>
    <row r="157" spans="1:83" s="3" customFormat="1" x14ac:dyDescent="0.2">
      <c r="A157" s="3" t="s">
        <v>3388</v>
      </c>
      <c r="B157" s="5" t="s">
        <v>4727</v>
      </c>
      <c r="C157" s="5">
        <v>28</v>
      </c>
      <c r="D157" s="5"/>
      <c r="E157" s="3" t="s">
        <v>3414</v>
      </c>
      <c r="F157" s="3">
        <v>18068</v>
      </c>
      <c r="G157" s="14">
        <v>45159.618750000001</v>
      </c>
      <c r="H157" s="14">
        <v>45175.759027777778</v>
      </c>
      <c r="I157" s="3" t="s">
        <v>2112</v>
      </c>
      <c r="J157" s="3" t="s">
        <v>111</v>
      </c>
      <c r="K157" s="3" t="s">
        <v>111</v>
      </c>
      <c r="L157" s="3" t="s">
        <v>111</v>
      </c>
      <c r="M157" s="3" t="s">
        <v>112</v>
      </c>
      <c r="N157" s="3" t="s">
        <v>113</v>
      </c>
      <c r="O157" s="3" t="s">
        <v>113</v>
      </c>
      <c r="P157" s="3">
        <v>0</v>
      </c>
      <c r="Q157" s="3" t="s">
        <v>113</v>
      </c>
      <c r="R157" s="3" t="s">
        <v>114</v>
      </c>
      <c r="S157" s="3" t="s">
        <v>115</v>
      </c>
      <c r="T157" s="3" t="s">
        <v>116</v>
      </c>
      <c r="U157" s="3" t="s">
        <v>117</v>
      </c>
      <c r="V157" s="3" t="s">
        <v>118</v>
      </c>
      <c r="W157" s="7" t="s">
        <v>2142</v>
      </c>
      <c r="X157" s="3" t="s">
        <v>2143</v>
      </c>
      <c r="Y157" s="7" t="s">
        <v>2144</v>
      </c>
      <c r="Z157" s="3" t="s">
        <v>2145</v>
      </c>
      <c r="AA157" s="3" t="s">
        <v>2146</v>
      </c>
      <c r="AB157" s="3" t="s">
        <v>2147</v>
      </c>
      <c r="AC157" s="3" t="s">
        <v>1918</v>
      </c>
      <c r="AD157" s="3" t="s">
        <v>2148</v>
      </c>
      <c r="AE157" s="3" t="s">
        <v>2149</v>
      </c>
      <c r="AF157" s="3" t="s">
        <v>320</v>
      </c>
      <c r="AG157" s="3" t="s">
        <v>1503</v>
      </c>
      <c r="AH157" s="3">
        <v>248.04580000000001</v>
      </c>
      <c r="AI157" s="3" t="s">
        <v>2150</v>
      </c>
      <c r="AJ157" s="3" t="s">
        <v>113</v>
      </c>
      <c r="AK157" s="3" t="s">
        <v>113</v>
      </c>
      <c r="AL157" s="3" t="s">
        <v>113</v>
      </c>
      <c r="AM157" s="3" t="s">
        <v>131</v>
      </c>
      <c r="AN157" s="3" t="s">
        <v>3388</v>
      </c>
      <c r="AO157" s="3" t="s">
        <v>3414</v>
      </c>
      <c r="AP157" s="7" t="s">
        <v>2151</v>
      </c>
      <c r="AQ157" s="7">
        <f t="shared" si="22"/>
        <v>0.83689999999999998</v>
      </c>
      <c r="AR157" s="3" t="s">
        <v>2152</v>
      </c>
      <c r="AS157" s="10" t="s">
        <v>927</v>
      </c>
      <c r="AT157" s="11">
        <f t="shared" si="23"/>
        <v>0.18590000000000001</v>
      </c>
      <c r="AU157" s="3" t="s">
        <v>2153</v>
      </c>
      <c r="AV157" s="12"/>
      <c r="AW157" s="3" t="s">
        <v>2154</v>
      </c>
      <c r="AX157" s="3" t="s">
        <v>2155</v>
      </c>
      <c r="AY157" s="3" t="s">
        <v>771</v>
      </c>
      <c r="AZ157" s="3" t="s">
        <v>1754</v>
      </c>
      <c r="BA157" s="3" t="s">
        <v>2156</v>
      </c>
      <c r="BB157" s="3" t="s">
        <v>419</v>
      </c>
      <c r="BC157" s="3" t="s">
        <v>2157</v>
      </c>
      <c r="BD157" s="3" t="s">
        <v>1249</v>
      </c>
      <c r="BE157" s="3" t="s">
        <v>148</v>
      </c>
      <c r="BF157" s="3" t="s">
        <v>2158</v>
      </c>
      <c r="BG157" s="3" t="s">
        <v>1436</v>
      </c>
      <c r="BH157" s="3" t="s">
        <v>2159</v>
      </c>
      <c r="BI157" s="3" t="s">
        <v>2160</v>
      </c>
      <c r="BJ157" s="3" t="s">
        <v>182</v>
      </c>
      <c r="BK157" s="3" t="s">
        <v>2161</v>
      </c>
      <c r="BL157" s="3" t="s">
        <v>2162</v>
      </c>
      <c r="BM157" s="3" t="s">
        <v>2163</v>
      </c>
      <c r="BN157" s="3" t="s">
        <v>152</v>
      </c>
      <c r="BO157" s="3" t="s">
        <v>152</v>
      </c>
      <c r="BP157" s="3" t="s">
        <v>152</v>
      </c>
      <c r="BQ157" s="3">
        <v>204</v>
      </c>
      <c r="BR157" s="3">
        <v>188</v>
      </c>
      <c r="BS157" s="3">
        <v>104</v>
      </c>
      <c r="BT157" s="3">
        <v>198</v>
      </c>
      <c r="BU157" s="3">
        <v>1266</v>
      </c>
      <c r="BV157" s="3">
        <v>481</v>
      </c>
      <c r="BW157" s="3">
        <v>1126</v>
      </c>
      <c r="BX157" s="3" t="s">
        <v>111</v>
      </c>
      <c r="BY157" s="3" t="s">
        <v>153</v>
      </c>
      <c r="BZ157" s="3">
        <v>0</v>
      </c>
      <c r="CA157" s="3" t="s">
        <v>111</v>
      </c>
      <c r="CB157" s="3" t="s">
        <v>111</v>
      </c>
      <c r="CC157" s="3" t="s">
        <v>2141</v>
      </c>
      <c r="CD157" s="3" t="s">
        <v>111</v>
      </c>
      <c r="CE157" s="3">
        <v>5022</v>
      </c>
    </row>
    <row r="158" spans="1:83" s="3" customFormat="1" x14ac:dyDescent="0.2">
      <c r="A158" s="3" t="s">
        <v>3381</v>
      </c>
      <c r="B158" s="5" t="s">
        <v>4727</v>
      </c>
      <c r="C158" s="5">
        <v>28</v>
      </c>
      <c r="D158" s="5"/>
      <c r="E158" s="3" t="s">
        <v>3414</v>
      </c>
      <c r="F158" s="3">
        <v>18061</v>
      </c>
      <c r="G158" s="14">
        <v>45156.773611111108</v>
      </c>
      <c r="H158" s="14">
        <v>45170.321527777778</v>
      </c>
      <c r="I158" s="3" t="s">
        <v>1711</v>
      </c>
      <c r="J158" s="3" t="s">
        <v>111</v>
      </c>
      <c r="K158" s="3" t="s">
        <v>111</v>
      </c>
      <c r="L158" s="3" t="s">
        <v>111</v>
      </c>
      <c r="M158" s="3" t="s">
        <v>112</v>
      </c>
      <c r="N158" s="3" t="s">
        <v>113</v>
      </c>
      <c r="O158" s="3" t="s">
        <v>113</v>
      </c>
      <c r="P158" s="3">
        <v>0</v>
      </c>
      <c r="Q158" s="3" t="s">
        <v>113</v>
      </c>
      <c r="R158" s="3" t="s">
        <v>114</v>
      </c>
      <c r="S158" s="3" t="s">
        <v>115</v>
      </c>
      <c r="T158" s="3" t="s">
        <v>116</v>
      </c>
      <c r="U158" s="3" t="s">
        <v>117</v>
      </c>
      <c r="V158" s="3" t="s">
        <v>118</v>
      </c>
      <c r="W158" s="7" t="s">
        <v>1741</v>
      </c>
      <c r="X158" s="3" t="s">
        <v>1742</v>
      </c>
      <c r="Y158" s="7" t="s">
        <v>1743</v>
      </c>
      <c r="Z158" s="3" t="s">
        <v>1744</v>
      </c>
      <c r="AA158" s="3" t="s">
        <v>1745</v>
      </c>
      <c r="AB158" s="3" t="s">
        <v>1746</v>
      </c>
      <c r="AC158" s="3" t="s">
        <v>1747</v>
      </c>
      <c r="AD158" s="3" t="s">
        <v>1748</v>
      </c>
      <c r="AE158" s="3" t="s">
        <v>1749</v>
      </c>
      <c r="AF158" s="3" t="s">
        <v>1750</v>
      </c>
      <c r="AG158" s="3" t="s">
        <v>1751</v>
      </c>
      <c r="AH158" s="3">
        <v>229.43790000000001</v>
      </c>
      <c r="AI158" s="3" t="s">
        <v>1752</v>
      </c>
      <c r="AJ158" s="3" t="s">
        <v>113</v>
      </c>
      <c r="AK158" s="3" t="s">
        <v>113</v>
      </c>
      <c r="AL158" s="3" t="s">
        <v>113</v>
      </c>
      <c r="AM158" s="3" t="s">
        <v>131</v>
      </c>
      <c r="AN158" s="3" t="s">
        <v>3381</v>
      </c>
      <c r="AO158" s="3" t="s">
        <v>3414</v>
      </c>
      <c r="AP158" s="7" t="s">
        <v>1753</v>
      </c>
      <c r="AQ158" s="7">
        <f t="shared" si="22"/>
        <v>1.0273000000000001</v>
      </c>
      <c r="AR158" s="3" t="s">
        <v>1754</v>
      </c>
      <c r="AS158" s="10" t="s">
        <v>1755</v>
      </c>
      <c r="AT158" s="11">
        <f t="shared" si="23"/>
        <v>0.1799</v>
      </c>
      <c r="AU158" s="3" t="s">
        <v>1756</v>
      </c>
      <c r="AV158" s="12"/>
      <c r="AW158" s="3" t="s">
        <v>1757</v>
      </c>
      <c r="AX158" s="3" t="s">
        <v>1758</v>
      </c>
      <c r="AY158" s="3" t="s">
        <v>1759</v>
      </c>
      <c r="AZ158" s="3" t="s">
        <v>1760</v>
      </c>
      <c r="BA158" s="3" t="s">
        <v>1761</v>
      </c>
      <c r="BB158" s="3" t="s">
        <v>1762</v>
      </c>
      <c r="BC158" s="3" t="s">
        <v>982</v>
      </c>
      <c r="BD158" s="3" t="s">
        <v>1763</v>
      </c>
      <c r="BE158" s="3" t="s">
        <v>1764</v>
      </c>
      <c r="BF158" s="3" t="s">
        <v>1765</v>
      </c>
      <c r="BG158" s="3" t="s">
        <v>1766</v>
      </c>
      <c r="BH158" s="3" t="s">
        <v>1767</v>
      </c>
      <c r="BI158" s="3" t="s">
        <v>1768</v>
      </c>
      <c r="BJ158" s="3" t="s">
        <v>1053</v>
      </c>
      <c r="BK158" s="3" t="s">
        <v>1769</v>
      </c>
      <c r="BL158" s="3" t="s">
        <v>1770</v>
      </c>
      <c r="BM158" s="3" t="s">
        <v>1771</v>
      </c>
      <c r="BN158" s="3" t="s">
        <v>152</v>
      </c>
      <c r="BO158" s="3" t="s">
        <v>152</v>
      </c>
      <c r="BP158" s="3" t="s">
        <v>152</v>
      </c>
      <c r="BQ158" s="3">
        <v>192</v>
      </c>
      <c r="BR158" s="3">
        <v>224</v>
      </c>
      <c r="BS158" s="3">
        <v>103</v>
      </c>
      <c r="BT158" s="3">
        <v>1347</v>
      </c>
      <c r="BU158" s="3">
        <v>995</v>
      </c>
      <c r="BV158" s="3">
        <v>271</v>
      </c>
      <c r="BW158" s="3">
        <v>1030</v>
      </c>
      <c r="BX158" s="3" t="s">
        <v>111</v>
      </c>
      <c r="BY158" s="3" t="s">
        <v>153</v>
      </c>
      <c r="BZ158" s="3">
        <v>0</v>
      </c>
      <c r="CA158" s="3" t="s">
        <v>111</v>
      </c>
      <c r="CB158" s="3" t="s">
        <v>111</v>
      </c>
      <c r="CC158" s="3" t="s">
        <v>1740</v>
      </c>
      <c r="CD158" s="3" t="s">
        <v>111</v>
      </c>
      <c r="CE158" s="3">
        <v>5022</v>
      </c>
    </row>
    <row r="159" spans="1:83" s="3" customFormat="1" x14ac:dyDescent="0.2">
      <c r="A159" s="3" t="s">
        <v>3383</v>
      </c>
      <c r="B159" s="5" t="s">
        <v>4727</v>
      </c>
      <c r="C159" s="5">
        <v>28</v>
      </c>
      <c r="D159" s="5"/>
      <c r="E159" s="3" t="s">
        <v>3414</v>
      </c>
      <c r="F159" s="3">
        <v>18063</v>
      </c>
      <c r="G159" s="14">
        <v>45156.81527777778</v>
      </c>
      <c r="H159" s="14">
        <v>45175.707638888889</v>
      </c>
      <c r="I159" s="3" t="s">
        <v>1828</v>
      </c>
      <c r="J159" s="3" t="s">
        <v>111</v>
      </c>
      <c r="K159" s="3" t="s">
        <v>111</v>
      </c>
      <c r="L159" s="3" t="s">
        <v>111</v>
      </c>
      <c r="M159" s="3" t="s">
        <v>112</v>
      </c>
      <c r="N159" s="3" t="s">
        <v>113</v>
      </c>
      <c r="O159" s="3" t="s">
        <v>113</v>
      </c>
      <c r="P159" s="3">
        <v>0</v>
      </c>
      <c r="Q159" s="3" t="s">
        <v>113</v>
      </c>
      <c r="R159" s="3" t="s">
        <v>114</v>
      </c>
      <c r="S159" s="3" t="s">
        <v>115</v>
      </c>
      <c r="T159" s="3" t="s">
        <v>116</v>
      </c>
      <c r="U159" s="3" t="s">
        <v>117</v>
      </c>
      <c r="V159" s="3" t="s">
        <v>118</v>
      </c>
      <c r="W159" s="7" t="s">
        <v>1856</v>
      </c>
      <c r="X159" s="3" t="s">
        <v>1857</v>
      </c>
      <c r="Y159" s="7" t="s">
        <v>1858</v>
      </c>
      <c r="Z159" s="3" t="s">
        <v>1859</v>
      </c>
      <c r="AA159" s="3" t="s">
        <v>1860</v>
      </c>
      <c r="AB159" s="3" t="s">
        <v>1861</v>
      </c>
      <c r="AC159" s="3" t="s">
        <v>1862</v>
      </c>
      <c r="AD159" s="3" t="s">
        <v>1863</v>
      </c>
      <c r="AE159" s="3" t="s">
        <v>1864</v>
      </c>
      <c r="AF159" s="3" t="s">
        <v>1865</v>
      </c>
      <c r="AG159" s="3" t="s">
        <v>1866</v>
      </c>
      <c r="AH159" s="3">
        <v>196.29259999999999</v>
      </c>
      <c r="AI159" s="3" t="s">
        <v>1867</v>
      </c>
      <c r="AJ159" s="3" t="s">
        <v>113</v>
      </c>
      <c r="AK159" s="3" t="s">
        <v>113</v>
      </c>
      <c r="AL159" s="3" t="s">
        <v>113</v>
      </c>
      <c r="AM159" s="3" t="s">
        <v>131</v>
      </c>
      <c r="AN159" s="3" t="s">
        <v>3383</v>
      </c>
      <c r="AO159" s="3" t="s">
        <v>3414</v>
      </c>
      <c r="AP159" s="7" t="s">
        <v>1868</v>
      </c>
      <c r="AQ159" s="7">
        <f t="shared" si="22"/>
        <v>1.1407</v>
      </c>
      <c r="AR159" s="3" t="s">
        <v>1645</v>
      </c>
      <c r="AS159" s="10" t="s">
        <v>1869</v>
      </c>
      <c r="AT159" s="11">
        <f t="shared" si="23"/>
        <v>0.1434</v>
      </c>
      <c r="AU159" s="3" t="s">
        <v>1870</v>
      </c>
      <c r="AV159" s="12"/>
      <c r="AW159" s="3" t="s">
        <v>1871</v>
      </c>
      <c r="AX159" s="3" t="s">
        <v>1872</v>
      </c>
      <c r="AY159" s="3" t="s">
        <v>837</v>
      </c>
      <c r="AZ159" s="3" t="s">
        <v>185</v>
      </c>
      <c r="BA159" s="3" t="s">
        <v>1873</v>
      </c>
      <c r="BB159" s="3" t="s">
        <v>1874</v>
      </c>
      <c r="BC159" s="3" t="s">
        <v>1875</v>
      </c>
      <c r="BD159" s="3" t="s">
        <v>982</v>
      </c>
      <c r="BE159" s="3" t="s">
        <v>1876</v>
      </c>
      <c r="BF159" s="3" t="s">
        <v>1877</v>
      </c>
      <c r="BG159" s="3" t="s">
        <v>582</v>
      </c>
      <c r="BH159" s="3" t="s">
        <v>1878</v>
      </c>
      <c r="BI159" s="3" t="s">
        <v>1879</v>
      </c>
      <c r="BJ159" s="3" t="s">
        <v>1880</v>
      </c>
      <c r="BK159" s="3" t="s">
        <v>1769</v>
      </c>
      <c r="BL159" s="3" t="s">
        <v>1881</v>
      </c>
      <c r="BM159" s="3" t="s">
        <v>1882</v>
      </c>
      <c r="BN159" s="3" t="s">
        <v>152</v>
      </c>
      <c r="BO159" s="3" t="s">
        <v>152</v>
      </c>
      <c r="BP159" s="3" t="s">
        <v>152</v>
      </c>
      <c r="BQ159" s="3">
        <v>216</v>
      </c>
      <c r="BR159" s="3">
        <v>224</v>
      </c>
      <c r="BS159" s="3">
        <v>96</v>
      </c>
      <c r="BT159" s="3">
        <v>1072</v>
      </c>
      <c r="BU159" s="3">
        <v>1448</v>
      </c>
      <c r="BV159" s="3">
        <v>341</v>
      </c>
      <c r="BW159" s="3">
        <v>1090</v>
      </c>
      <c r="BX159" s="3" t="s">
        <v>111</v>
      </c>
      <c r="BY159" s="3" t="s">
        <v>153</v>
      </c>
      <c r="BZ159" s="3">
        <v>0</v>
      </c>
      <c r="CA159" s="3" t="s">
        <v>111</v>
      </c>
      <c r="CB159" s="3" t="s">
        <v>111</v>
      </c>
      <c r="CC159" s="3" t="s">
        <v>1855</v>
      </c>
      <c r="CD159" s="3" t="s">
        <v>111</v>
      </c>
      <c r="CE159" s="3">
        <v>5022</v>
      </c>
    </row>
    <row r="160" spans="1:83" s="3" customFormat="1" x14ac:dyDescent="0.2">
      <c r="A160" s="3" t="s">
        <v>3385</v>
      </c>
      <c r="B160" s="5" t="s">
        <v>4727</v>
      </c>
      <c r="C160" s="5">
        <v>28</v>
      </c>
      <c r="D160" s="5"/>
      <c r="E160" s="3" t="s">
        <v>3414</v>
      </c>
      <c r="F160" s="3">
        <v>18065</v>
      </c>
      <c r="G160" s="14">
        <v>45159.549305555556</v>
      </c>
      <c r="H160" s="14">
        <v>45175.727777777778</v>
      </c>
      <c r="I160" s="3" t="s">
        <v>1941</v>
      </c>
      <c r="J160" s="3" t="s">
        <v>111</v>
      </c>
      <c r="K160" s="3" t="s">
        <v>111</v>
      </c>
      <c r="L160" s="3" t="s">
        <v>111</v>
      </c>
      <c r="M160" s="3" t="s">
        <v>112</v>
      </c>
      <c r="N160" s="3" t="s">
        <v>113</v>
      </c>
      <c r="O160" s="3" t="s">
        <v>113</v>
      </c>
      <c r="P160" s="3">
        <v>0</v>
      </c>
      <c r="Q160" s="3" t="s">
        <v>113</v>
      </c>
      <c r="R160" s="3" t="s">
        <v>114</v>
      </c>
      <c r="S160" s="3" t="s">
        <v>115</v>
      </c>
      <c r="T160" s="3" t="s">
        <v>116</v>
      </c>
      <c r="U160" s="3" t="s">
        <v>117</v>
      </c>
      <c r="V160" s="3" t="s">
        <v>118</v>
      </c>
      <c r="W160" s="7" t="s">
        <v>1969</v>
      </c>
      <c r="X160" s="3" t="s">
        <v>946</v>
      </c>
      <c r="Y160" s="7" t="s">
        <v>1970</v>
      </c>
      <c r="Z160" s="3" t="s">
        <v>1971</v>
      </c>
      <c r="AA160" s="3" t="s">
        <v>1972</v>
      </c>
      <c r="AB160" s="3" t="s">
        <v>1973</v>
      </c>
      <c r="AC160" s="3" t="s">
        <v>634</v>
      </c>
      <c r="AD160" s="3" t="s">
        <v>1974</v>
      </c>
      <c r="AE160" s="3" t="s">
        <v>1975</v>
      </c>
      <c r="AF160" s="3" t="s">
        <v>1976</v>
      </c>
      <c r="AG160" s="3" t="s">
        <v>1977</v>
      </c>
      <c r="AH160" s="3">
        <v>205.66929999999999</v>
      </c>
      <c r="AI160" s="3" t="s">
        <v>1978</v>
      </c>
      <c r="AJ160" s="3" t="s">
        <v>113</v>
      </c>
      <c r="AK160" s="3" t="s">
        <v>113</v>
      </c>
      <c r="AL160" s="3" t="s">
        <v>113</v>
      </c>
      <c r="AM160" s="3" t="s">
        <v>131</v>
      </c>
      <c r="AN160" s="3" t="s">
        <v>3385</v>
      </c>
      <c r="AO160" s="3" t="s">
        <v>3414</v>
      </c>
      <c r="AP160" s="7" t="s">
        <v>1979</v>
      </c>
      <c r="AQ160" s="7">
        <f t="shared" si="22"/>
        <v>1.0974999999999999</v>
      </c>
      <c r="AR160" s="3" t="s">
        <v>1980</v>
      </c>
      <c r="AS160" s="10" t="s">
        <v>1591</v>
      </c>
      <c r="AT160" s="11">
        <f t="shared" si="23"/>
        <v>0.15709999999999999</v>
      </c>
      <c r="AU160" s="3" t="s">
        <v>1981</v>
      </c>
      <c r="AV160" s="12"/>
      <c r="AW160" s="3" t="s">
        <v>1982</v>
      </c>
      <c r="AX160" s="3" t="s">
        <v>1983</v>
      </c>
      <c r="AY160" s="3" t="s">
        <v>1984</v>
      </c>
      <c r="AZ160" s="3" t="s">
        <v>1985</v>
      </c>
      <c r="BA160" s="3" t="s">
        <v>1986</v>
      </c>
      <c r="BB160" s="3" t="s">
        <v>1904</v>
      </c>
      <c r="BC160" s="3" t="s">
        <v>1987</v>
      </c>
      <c r="BD160" s="3" t="s">
        <v>1988</v>
      </c>
      <c r="BE160" s="3" t="s">
        <v>1989</v>
      </c>
      <c r="BF160" s="3" t="s">
        <v>1990</v>
      </c>
      <c r="BG160" s="3" t="s">
        <v>1991</v>
      </c>
      <c r="BH160" s="3" t="s">
        <v>1992</v>
      </c>
      <c r="BI160" s="3" t="s">
        <v>1993</v>
      </c>
      <c r="BJ160" s="3" t="s">
        <v>1994</v>
      </c>
      <c r="BK160" s="3" t="s">
        <v>1176</v>
      </c>
      <c r="BL160" s="3" t="s">
        <v>1995</v>
      </c>
      <c r="BM160" s="3" t="s">
        <v>1996</v>
      </c>
      <c r="BN160" s="3" t="s">
        <v>152</v>
      </c>
      <c r="BO160" s="3" t="s">
        <v>152</v>
      </c>
      <c r="BP160" s="3" t="s">
        <v>152</v>
      </c>
      <c r="BQ160" s="3">
        <v>208</v>
      </c>
      <c r="BR160" s="3">
        <v>212</v>
      </c>
      <c r="BS160" s="3">
        <v>104</v>
      </c>
      <c r="BT160" s="3">
        <v>689</v>
      </c>
      <c r="BU160" s="3">
        <v>1501</v>
      </c>
      <c r="BV160" s="3">
        <v>371</v>
      </c>
      <c r="BW160" s="3">
        <v>1030</v>
      </c>
      <c r="BX160" s="3" t="s">
        <v>111</v>
      </c>
      <c r="BY160" s="3" t="s">
        <v>153</v>
      </c>
      <c r="BZ160" s="3">
        <v>0</v>
      </c>
      <c r="CA160" s="3" t="s">
        <v>111</v>
      </c>
      <c r="CB160" s="3" t="s">
        <v>111</v>
      </c>
      <c r="CC160" s="3" t="s">
        <v>1968</v>
      </c>
      <c r="CD160" s="3" t="s">
        <v>111</v>
      </c>
      <c r="CE160" s="3">
        <v>5022</v>
      </c>
    </row>
    <row r="161" spans="1:83" s="3" customFormat="1" x14ac:dyDescent="0.2">
      <c r="A161" s="3" t="s">
        <v>3387</v>
      </c>
      <c r="B161" s="5" t="s">
        <v>4727</v>
      </c>
      <c r="C161" s="5">
        <v>28</v>
      </c>
      <c r="D161" s="5"/>
      <c r="E161" s="3" t="s">
        <v>3414</v>
      </c>
      <c r="F161" s="3">
        <v>18067</v>
      </c>
      <c r="G161" s="14">
        <v>45159.601388888892</v>
      </c>
      <c r="H161" s="14">
        <v>45175.748611111114</v>
      </c>
      <c r="I161" s="3" t="s">
        <v>2056</v>
      </c>
      <c r="J161" s="3" t="s">
        <v>111</v>
      </c>
      <c r="K161" s="3" t="s">
        <v>111</v>
      </c>
      <c r="L161" s="3" t="s">
        <v>111</v>
      </c>
      <c r="M161" s="3" t="s">
        <v>112</v>
      </c>
      <c r="N161" s="3" t="s">
        <v>113</v>
      </c>
      <c r="O161" s="3" t="s">
        <v>113</v>
      </c>
      <c r="P161" s="3">
        <v>0</v>
      </c>
      <c r="Q161" s="3" t="s">
        <v>113</v>
      </c>
      <c r="R161" s="3" t="s">
        <v>114</v>
      </c>
      <c r="S161" s="3" t="s">
        <v>115</v>
      </c>
      <c r="T161" s="3" t="s">
        <v>116</v>
      </c>
      <c r="U161" s="3" t="s">
        <v>117</v>
      </c>
      <c r="V161" s="3" t="s">
        <v>118</v>
      </c>
      <c r="W161" s="7" t="s">
        <v>2086</v>
      </c>
      <c r="X161" s="3" t="s">
        <v>2087</v>
      </c>
      <c r="Y161" s="7" t="s">
        <v>2088</v>
      </c>
      <c r="Z161" s="3" t="s">
        <v>2089</v>
      </c>
      <c r="AA161" s="3" t="s">
        <v>2090</v>
      </c>
      <c r="AB161" s="3" t="s">
        <v>2091</v>
      </c>
      <c r="AC161" s="3" t="s">
        <v>760</v>
      </c>
      <c r="AD161" s="3" t="s">
        <v>1601</v>
      </c>
      <c r="AE161" s="3" t="s">
        <v>2092</v>
      </c>
      <c r="AF161" s="3" t="s">
        <v>2093</v>
      </c>
      <c r="AG161" s="3" t="s">
        <v>2094</v>
      </c>
      <c r="AH161" s="3">
        <v>240.70439999999999</v>
      </c>
      <c r="AI161" s="3" t="s">
        <v>2095</v>
      </c>
      <c r="AJ161" s="3" t="s">
        <v>113</v>
      </c>
      <c r="AK161" s="3" t="s">
        <v>113</v>
      </c>
      <c r="AL161" s="3" t="s">
        <v>113</v>
      </c>
      <c r="AM161" s="3" t="s">
        <v>131</v>
      </c>
      <c r="AN161" s="3" t="s">
        <v>3387</v>
      </c>
      <c r="AO161" s="3" t="s">
        <v>3414</v>
      </c>
      <c r="AP161" s="7" t="s">
        <v>2096</v>
      </c>
      <c r="AQ161" s="7">
        <f t="shared" si="22"/>
        <v>0.70709999999999995</v>
      </c>
      <c r="AR161" s="3" t="s">
        <v>2097</v>
      </c>
      <c r="AS161" s="10" t="s">
        <v>2098</v>
      </c>
      <c r="AT161" s="11">
        <f t="shared" si="23"/>
        <v>0.1764</v>
      </c>
      <c r="AU161" s="3" t="s">
        <v>2099</v>
      </c>
      <c r="AV161" s="12"/>
      <c r="AW161" s="3" t="s">
        <v>2100</v>
      </c>
      <c r="AX161" s="3" t="s">
        <v>2101</v>
      </c>
      <c r="AY161" s="3" t="s">
        <v>1073</v>
      </c>
      <c r="AZ161" s="3" t="s">
        <v>2102</v>
      </c>
      <c r="BA161" s="3" t="s">
        <v>2103</v>
      </c>
      <c r="BB161" s="3" t="s">
        <v>2104</v>
      </c>
      <c r="BC161" s="3" t="s">
        <v>146</v>
      </c>
      <c r="BD161" s="3" t="s">
        <v>732</v>
      </c>
      <c r="BE161" s="3" t="s">
        <v>1466</v>
      </c>
      <c r="BF161" s="3" t="s">
        <v>2105</v>
      </c>
      <c r="BG161" s="3" t="s">
        <v>2106</v>
      </c>
      <c r="BH161" s="3" t="s">
        <v>2107</v>
      </c>
      <c r="BI161" s="3" t="s">
        <v>2108</v>
      </c>
      <c r="BJ161" s="3" t="s">
        <v>1334</v>
      </c>
      <c r="BK161" s="3" t="s">
        <v>2109</v>
      </c>
      <c r="BL161" s="3" t="s">
        <v>2110</v>
      </c>
      <c r="BM161" s="3" t="s">
        <v>2111</v>
      </c>
      <c r="BN161" s="3" t="s">
        <v>152</v>
      </c>
      <c r="BO161" s="3" t="s">
        <v>152</v>
      </c>
      <c r="BP161" s="3" t="s">
        <v>152</v>
      </c>
      <c r="BQ161" s="3">
        <v>236</v>
      </c>
      <c r="BR161" s="3">
        <v>180</v>
      </c>
      <c r="BS161" s="3">
        <v>86</v>
      </c>
      <c r="BT161" s="3">
        <v>262</v>
      </c>
      <c r="BU161" s="3">
        <v>1181</v>
      </c>
      <c r="BV161" s="3">
        <v>251</v>
      </c>
      <c r="BW161" s="3">
        <v>870</v>
      </c>
      <c r="BX161" s="3" t="s">
        <v>111</v>
      </c>
      <c r="BY161" s="3" t="s">
        <v>153</v>
      </c>
      <c r="BZ161" s="3">
        <v>0</v>
      </c>
      <c r="CA161" s="3" t="s">
        <v>111</v>
      </c>
      <c r="CB161" s="3" t="s">
        <v>111</v>
      </c>
      <c r="CC161" s="3" t="s">
        <v>2085</v>
      </c>
      <c r="CD161" s="3" t="s">
        <v>111</v>
      </c>
      <c r="CE161" s="3">
        <v>5022</v>
      </c>
    </row>
    <row r="162" spans="1:83" s="3" customFormat="1" x14ac:dyDescent="0.2">
      <c r="D162" s="5"/>
      <c r="G162" s="14"/>
      <c r="H162" s="14"/>
      <c r="W162" s="7"/>
      <c r="Y162" s="7"/>
      <c r="AP162" s="7"/>
      <c r="AQ162" s="7"/>
      <c r="AS162" s="10"/>
      <c r="AT162" s="11"/>
      <c r="AV162" s="12"/>
    </row>
    <row r="163" spans="1:83" s="3" customFormat="1" x14ac:dyDescent="0.2">
      <c r="D163" s="5"/>
      <c r="G163" s="14"/>
      <c r="H163" s="14"/>
      <c r="W163" s="7"/>
      <c r="Y163" s="7"/>
      <c r="AO163" s="3" t="s">
        <v>4717</v>
      </c>
      <c r="AP163" s="7"/>
      <c r="AQ163" s="7">
        <f>_xlfn.T.TEST(AQ144:AQ151,AQ154:AQ161,2,3)</f>
        <v>9.9740604909512678E-4</v>
      </c>
      <c r="AS163" s="10"/>
      <c r="AT163" s="7">
        <f>_xlfn.T.TEST(AT144:AT151,AT154:AT161,2,3)</f>
        <v>2.0733501398263587E-7</v>
      </c>
      <c r="AV163" s="12"/>
    </row>
    <row r="164" spans="1:83" s="3" customFormat="1" x14ac:dyDescent="0.2">
      <c r="D164" s="5"/>
      <c r="W164" s="7"/>
      <c r="Y164" s="7"/>
      <c r="AP164" s="7"/>
      <c r="AQ164" s="7"/>
      <c r="AS164" s="10"/>
      <c r="AT164" s="11"/>
      <c r="AV164" s="12"/>
    </row>
    <row r="166" spans="1:83" s="3" customFormat="1" x14ac:dyDescent="0.2">
      <c r="D166" s="5"/>
      <c r="W166" s="7"/>
      <c r="Y166" s="7"/>
      <c r="AP166" s="7"/>
      <c r="AQ166" s="7"/>
      <c r="AS166" s="10"/>
      <c r="AT166" s="11"/>
      <c r="AV166" s="12"/>
    </row>
  </sheetData>
  <mergeCells count="4">
    <mergeCell ref="AU2:AW2"/>
    <mergeCell ref="BN2:BP2"/>
    <mergeCell ref="BQ2:BS2"/>
    <mergeCell ref="BT2:BV2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O272"/>
  <sheetViews>
    <sheetView topLeftCell="CM1" zoomScale="150" workbookViewId="0">
      <selection activeCell="CH1" sqref="CH1:CJ4"/>
    </sheetView>
  </sheetViews>
  <sheetFormatPr baseColWidth="10" defaultColWidth="8.83203125" defaultRowHeight="15" x14ac:dyDescent="0.2"/>
  <cols>
    <col min="1" max="2" width="12.5" style="3" customWidth="1"/>
    <col min="3" max="4" width="16.1640625" style="3" customWidth="1"/>
    <col min="5" max="5" width="16.1640625" style="5" customWidth="1"/>
    <col min="6" max="6" width="12.5" style="3" customWidth="1"/>
    <col min="7" max="7" width="24" style="3" bestFit="1" customWidth="1"/>
    <col min="8" max="8" width="8.33203125" style="3" customWidth="1"/>
    <col min="9" max="10" width="14.83203125" style="3" customWidth="1"/>
    <col min="11" max="11" width="9.33203125" style="3" bestFit="1" customWidth="1"/>
    <col min="12" max="12" width="6.5" style="3" customWidth="1"/>
    <col min="13" max="13" width="9.5" style="3" bestFit="1" customWidth="1"/>
    <col min="14" max="14" width="10.33203125" style="3" bestFit="1" customWidth="1"/>
    <col min="15" max="15" width="7.6640625" style="3" customWidth="1"/>
    <col min="16" max="16" width="13.6640625" style="3" bestFit="1" customWidth="1"/>
    <col min="17" max="17" width="11.33203125" style="3" customWidth="1"/>
    <col min="18" max="18" width="13.33203125" style="3" bestFit="1" customWidth="1"/>
    <col min="19" max="19" width="12" style="3" bestFit="1" customWidth="1"/>
    <col min="20" max="20" width="6.33203125" style="3" customWidth="1"/>
    <col min="21" max="21" width="8" style="3" customWidth="1"/>
    <col min="22" max="22" width="9.83203125" style="3" bestFit="1" customWidth="1"/>
    <col min="23" max="23" width="4.6640625" style="3" customWidth="1"/>
    <col min="24" max="24" width="14.6640625" style="3" bestFit="1" customWidth="1"/>
    <col min="25" max="25" width="7.83203125" style="3" customWidth="1"/>
    <col min="26" max="26" width="8" style="3" customWidth="1"/>
    <col min="27" max="27" width="11.1640625" style="3" customWidth="1"/>
    <col min="28" max="28" width="11.33203125" style="3" customWidth="1"/>
    <col min="29" max="29" width="8.33203125" style="3" customWidth="1"/>
    <col min="30" max="30" width="8.1640625" style="3" customWidth="1"/>
    <col min="31" max="32" width="8.83203125" style="3" customWidth="1"/>
    <col min="33" max="33" width="14.5" style="3" customWidth="1"/>
    <col min="34" max="35" width="11.6640625" style="3" bestFit="1" customWidth="1"/>
    <col min="36" max="36" width="9" style="3" customWidth="1"/>
    <col min="37" max="37" width="10" style="3" customWidth="1"/>
    <col min="38" max="40" width="7" style="3" customWidth="1"/>
    <col min="41" max="41" width="12.5" style="3" bestFit="1" customWidth="1"/>
    <col min="42" max="43" width="8.33203125" style="3" customWidth="1"/>
    <col min="44" max="44" width="10" style="3" bestFit="1" customWidth="1"/>
    <col min="45" max="45" width="8.33203125" style="3" customWidth="1"/>
    <col min="46" max="46" width="9.83203125" style="3" customWidth="1"/>
    <col min="47" max="47" width="8.5" style="3" customWidth="1"/>
    <col min="48" max="48" width="9.33203125" style="7" customWidth="1"/>
    <col min="49" max="50" width="14.83203125" style="7" customWidth="1"/>
    <col min="51" max="51" width="12.5" style="3" customWidth="1"/>
    <col min="52" max="52" width="9.33203125" style="7" customWidth="1"/>
    <col min="53" max="53" width="9.33203125" style="3" customWidth="1"/>
    <col min="54" max="54" width="8.33203125" style="3" customWidth="1"/>
    <col min="55" max="57" width="8.6640625" style="3" customWidth="1"/>
    <col min="58" max="58" width="8.5" style="3" customWidth="1"/>
    <col min="59" max="61" width="8.33203125" style="3" customWidth="1"/>
    <col min="62" max="62" width="8.5" style="3" customWidth="1"/>
    <col min="63" max="65" width="8.33203125" style="3" customWidth="1"/>
    <col min="66" max="66" width="8.5" style="3" customWidth="1"/>
    <col min="67" max="69" width="7.5" style="3" customWidth="1"/>
    <col min="70" max="70" width="6.5" style="3" customWidth="1"/>
    <col min="71" max="72" width="6.33203125" style="3" customWidth="1"/>
    <col min="73" max="73" width="6" style="3" customWidth="1"/>
    <col min="74" max="75" width="5.83203125" style="3" customWidth="1"/>
    <col min="76" max="76" width="15.1640625" style="3" bestFit="1" customWidth="1"/>
    <col min="77" max="77" width="14.1640625" style="3" customWidth="1"/>
    <col min="78" max="78" width="14.1640625" style="3" bestFit="1" customWidth="1"/>
    <col min="79" max="79" width="10.5" style="3" bestFit="1" customWidth="1"/>
    <col min="80" max="80" width="38.1640625" style="3" bestFit="1" customWidth="1"/>
    <col min="81" max="81" width="10.6640625" style="3" bestFit="1" customWidth="1"/>
    <col min="82" max="82" width="38.1640625" style="3" bestFit="1" customWidth="1"/>
    <col min="83" max="83" width="10" style="3" bestFit="1" customWidth="1"/>
    <col min="84" max="84" width="9.83203125" style="3" bestFit="1" customWidth="1"/>
    <col min="85" max="87" width="8.83203125" style="3"/>
    <col min="88" max="89" width="9.83203125" style="3" customWidth="1"/>
    <col min="90" max="90" width="8.83203125" style="5"/>
    <col min="91" max="91" width="8.83203125" style="3"/>
    <col min="92" max="92" width="12.5" style="3" customWidth="1"/>
    <col min="93" max="93" width="24" style="3" bestFit="1" customWidth="1"/>
    <col min="94" max="16384" width="8.83203125" style="3"/>
  </cols>
  <sheetData>
    <row r="1" spans="1:93" ht="15" customHeight="1" x14ac:dyDescent="0.2">
      <c r="AK1" s="9" t="s">
        <v>109</v>
      </c>
      <c r="AV1" s="15" t="s">
        <v>82</v>
      </c>
      <c r="AW1" s="15"/>
      <c r="AX1" s="15"/>
      <c r="AZ1" s="15"/>
      <c r="CH1" s="20" t="s">
        <v>4709</v>
      </c>
      <c r="CI1" s="20"/>
      <c r="CJ1" s="20"/>
      <c r="CK1" s="16"/>
    </row>
    <row r="2" spans="1:93" x14ac:dyDescent="0.2">
      <c r="A2" s="12" t="s">
        <v>75</v>
      </c>
      <c r="B2" s="12"/>
      <c r="C2" s="12"/>
      <c r="D2" s="12"/>
      <c r="E2" s="9"/>
      <c r="F2" s="12"/>
      <c r="AC2" s="12" t="s">
        <v>76</v>
      </c>
      <c r="AK2" s="9" t="s">
        <v>77</v>
      </c>
      <c r="AS2" s="13" t="s">
        <v>78</v>
      </c>
      <c r="AT2" s="13"/>
      <c r="AV2" s="15" t="s">
        <v>83</v>
      </c>
      <c r="AW2" s="15"/>
      <c r="AX2" s="15"/>
      <c r="AY2" s="12" t="s">
        <v>75</v>
      </c>
      <c r="AZ2" s="15"/>
      <c r="BO2" s="13" t="s">
        <v>79</v>
      </c>
      <c r="BP2" s="13"/>
      <c r="BQ2" s="13"/>
      <c r="BR2" s="13" t="s">
        <v>80</v>
      </c>
      <c r="BS2" s="13"/>
      <c r="BT2" s="13"/>
      <c r="BU2" s="13" t="s">
        <v>81</v>
      </c>
      <c r="BV2" s="13"/>
      <c r="BW2" s="13"/>
      <c r="CH2" s="20"/>
      <c r="CI2" s="20"/>
      <c r="CJ2" s="20"/>
      <c r="CK2" s="16"/>
      <c r="CN2" s="12" t="s">
        <v>75</v>
      </c>
    </row>
    <row r="3" spans="1:93" x14ac:dyDescent="0.2">
      <c r="CH3" s="20"/>
      <c r="CI3" s="20"/>
      <c r="CJ3" s="20"/>
      <c r="CK3" s="16"/>
    </row>
    <row r="4" spans="1:93" ht="17" x14ac:dyDescent="0.2">
      <c r="A4" s="3" t="s">
        <v>0</v>
      </c>
      <c r="B4" s="3" t="s">
        <v>4735</v>
      </c>
      <c r="E4" s="5" t="s">
        <v>4730</v>
      </c>
      <c r="G4" s="5" t="s">
        <v>51</v>
      </c>
      <c r="H4" s="3" t="s">
        <v>1</v>
      </c>
      <c r="I4" s="3" t="s">
        <v>2</v>
      </c>
      <c r="J4" s="3" t="s">
        <v>3</v>
      </c>
      <c r="K4" s="3" t="s">
        <v>4</v>
      </c>
      <c r="L4" s="3" t="s">
        <v>5</v>
      </c>
      <c r="M4" s="3" t="s">
        <v>6</v>
      </c>
      <c r="N4" s="3" t="s">
        <v>7</v>
      </c>
      <c r="O4" s="3" t="s">
        <v>8</v>
      </c>
      <c r="P4" s="3" t="s">
        <v>9</v>
      </c>
      <c r="Q4" s="3" t="s">
        <v>52</v>
      </c>
      <c r="R4" s="3" t="s">
        <v>10</v>
      </c>
      <c r="S4" s="3" t="s">
        <v>11</v>
      </c>
      <c r="T4" s="3" t="s">
        <v>12</v>
      </c>
      <c r="U4" s="3" t="s">
        <v>13</v>
      </c>
      <c r="V4" s="3" t="s">
        <v>14</v>
      </c>
      <c r="W4" s="3" t="s">
        <v>15</v>
      </c>
      <c r="X4" s="3" t="s">
        <v>16</v>
      </c>
      <c r="Y4" s="3" t="s">
        <v>53</v>
      </c>
      <c r="Z4" s="3" t="s">
        <v>54</v>
      </c>
      <c r="AA4" s="3" t="s">
        <v>17</v>
      </c>
      <c r="AB4" s="3" t="s">
        <v>55</v>
      </c>
      <c r="AC4" s="3" t="s">
        <v>18</v>
      </c>
      <c r="AD4" s="3" t="s">
        <v>56</v>
      </c>
      <c r="AE4" s="3" t="s">
        <v>57</v>
      </c>
      <c r="AF4" s="3" t="s">
        <v>58</v>
      </c>
      <c r="AG4" s="3" t="s">
        <v>19</v>
      </c>
      <c r="AH4" s="3" t="s">
        <v>20</v>
      </c>
      <c r="AI4" s="3" t="s">
        <v>21</v>
      </c>
      <c r="AJ4" s="3" t="s">
        <v>22</v>
      </c>
      <c r="AK4" s="3" t="s">
        <v>23</v>
      </c>
      <c r="AL4" s="3" t="s">
        <v>24</v>
      </c>
      <c r="AM4" s="3" t="s">
        <v>25</v>
      </c>
      <c r="AN4" s="3" t="s">
        <v>26</v>
      </c>
      <c r="AO4" s="3" t="s">
        <v>27</v>
      </c>
      <c r="AP4" s="3" t="s">
        <v>59</v>
      </c>
      <c r="AQ4" s="3" t="s">
        <v>60</v>
      </c>
      <c r="AR4" s="3" t="s">
        <v>28</v>
      </c>
      <c r="AS4" s="3" t="s">
        <v>61</v>
      </c>
      <c r="AT4" s="3" t="s">
        <v>62</v>
      </c>
      <c r="AU4" s="3" t="s">
        <v>63</v>
      </c>
      <c r="AV4" s="17" t="s">
        <v>64</v>
      </c>
      <c r="AW4" s="17" t="s">
        <v>4716</v>
      </c>
      <c r="AX4" s="17"/>
      <c r="AY4" s="3" t="s">
        <v>0</v>
      </c>
      <c r="AZ4" s="17"/>
      <c r="BA4" s="3" t="s">
        <v>65</v>
      </c>
      <c r="BB4" s="3" t="s">
        <v>29</v>
      </c>
      <c r="BC4" s="3" t="s">
        <v>30</v>
      </c>
      <c r="BD4" s="3" t="s">
        <v>31</v>
      </c>
      <c r="BE4" s="3" t="s">
        <v>32</v>
      </c>
      <c r="BF4" s="3" t="s">
        <v>33</v>
      </c>
      <c r="BG4" s="3" t="s">
        <v>34</v>
      </c>
      <c r="BH4" s="3" t="s">
        <v>35</v>
      </c>
      <c r="BI4" s="3" t="s">
        <v>36</v>
      </c>
      <c r="BJ4" s="3" t="s">
        <v>37</v>
      </c>
      <c r="BK4" s="3" t="s">
        <v>38</v>
      </c>
      <c r="BL4" s="3" t="s">
        <v>39</v>
      </c>
      <c r="BM4" s="3" t="s">
        <v>40</v>
      </c>
      <c r="BN4" s="3" t="s">
        <v>41</v>
      </c>
      <c r="BO4" s="3" t="s">
        <v>66</v>
      </c>
      <c r="BP4" s="3" t="s">
        <v>67</v>
      </c>
      <c r="BQ4" s="3" t="s">
        <v>68</v>
      </c>
      <c r="BR4" s="3" t="s">
        <v>69</v>
      </c>
      <c r="BS4" s="3" t="s">
        <v>70</v>
      </c>
      <c r="BT4" s="3" t="s">
        <v>71</v>
      </c>
      <c r="BU4" s="3" t="s">
        <v>72</v>
      </c>
      <c r="BV4" s="3" t="s">
        <v>73</v>
      </c>
      <c r="BW4" s="3" t="s">
        <v>74</v>
      </c>
      <c r="BX4" s="3" t="s">
        <v>42</v>
      </c>
      <c r="BY4" s="3" t="s">
        <v>43</v>
      </c>
      <c r="BZ4" s="3" t="s">
        <v>44</v>
      </c>
      <c r="CA4" s="3" t="s">
        <v>45</v>
      </c>
      <c r="CB4" s="3" t="s">
        <v>46</v>
      </c>
      <c r="CC4" s="3" t="s">
        <v>47</v>
      </c>
      <c r="CD4" s="3" t="s">
        <v>48</v>
      </c>
      <c r="CE4" s="3" t="s">
        <v>49</v>
      </c>
      <c r="CF4" s="3" t="s">
        <v>50</v>
      </c>
      <c r="CH4" s="20"/>
      <c r="CI4" s="20"/>
      <c r="CJ4" s="20"/>
      <c r="CK4" s="16"/>
      <c r="CN4" s="3" t="s">
        <v>0</v>
      </c>
      <c r="CO4" s="5" t="s">
        <v>51</v>
      </c>
    </row>
    <row r="5" spans="1:93" ht="16" x14ac:dyDescent="0.2">
      <c r="A5" s="3" t="s">
        <v>3367</v>
      </c>
      <c r="B5" s="3" t="s">
        <v>4736</v>
      </c>
      <c r="C5" s="4" t="s">
        <v>4726</v>
      </c>
      <c r="D5" s="4">
        <v>12</v>
      </c>
      <c r="E5" s="5" t="s">
        <v>4732</v>
      </c>
      <c r="G5" s="3" t="s">
        <v>4707</v>
      </c>
      <c r="H5" s="3">
        <v>18047</v>
      </c>
      <c r="I5" s="14">
        <v>45156.545138888891</v>
      </c>
      <c r="J5" s="14">
        <v>45168.734722222223</v>
      </c>
      <c r="K5" s="3" t="s">
        <v>897</v>
      </c>
      <c r="L5" s="3" t="s">
        <v>111</v>
      </c>
      <c r="M5" s="3" t="s">
        <v>111</v>
      </c>
      <c r="N5" s="3" t="s">
        <v>111</v>
      </c>
      <c r="O5" s="3" t="s">
        <v>112</v>
      </c>
      <c r="P5" s="3" t="s">
        <v>113</v>
      </c>
      <c r="Q5" s="3" t="s">
        <v>113</v>
      </c>
      <c r="R5" s="3">
        <v>0</v>
      </c>
      <c r="S5" s="3" t="s">
        <v>113</v>
      </c>
      <c r="T5" s="3">
        <v>0.8</v>
      </c>
      <c r="U5" s="3">
        <v>1</v>
      </c>
      <c r="V5" s="3">
        <v>270</v>
      </c>
      <c r="W5" s="3">
        <v>6</v>
      </c>
      <c r="X5" s="3">
        <v>8847</v>
      </c>
      <c r="Y5" s="3">
        <v>9.3799999999999994E-2</v>
      </c>
      <c r="Z5" s="3">
        <v>8.9399999999999993E-2</v>
      </c>
      <c r="AA5" s="3">
        <v>0.95279999999999998</v>
      </c>
      <c r="AB5" s="3" t="s">
        <v>113</v>
      </c>
      <c r="AC5" s="3" t="s">
        <v>3814</v>
      </c>
      <c r="AD5" s="3" t="s">
        <v>113</v>
      </c>
      <c r="AE5" s="3" t="s">
        <v>113</v>
      </c>
      <c r="AF5" s="3" t="s">
        <v>113</v>
      </c>
      <c r="AG5" s="3" t="s">
        <v>113</v>
      </c>
      <c r="AH5" s="3" t="s">
        <v>113</v>
      </c>
      <c r="AI5" s="3" t="s">
        <v>113</v>
      </c>
      <c r="AJ5" s="3">
        <v>910.80600000000004</v>
      </c>
      <c r="AK5" s="3" t="s">
        <v>3815</v>
      </c>
      <c r="AL5" s="3" t="s">
        <v>113</v>
      </c>
      <c r="AM5" s="3" t="s">
        <v>113</v>
      </c>
      <c r="AN5" s="3" t="s">
        <v>113</v>
      </c>
      <c r="AO5" s="3" t="s">
        <v>131</v>
      </c>
      <c r="AP5" s="3" t="s">
        <v>3661</v>
      </c>
      <c r="AQ5" s="3" t="s">
        <v>3816</v>
      </c>
      <c r="AR5" s="3" t="s">
        <v>3817</v>
      </c>
      <c r="AS5" s="3" t="s">
        <v>3818</v>
      </c>
      <c r="AT5" s="3" t="s">
        <v>3819</v>
      </c>
      <c r="AU5" s="3" t="s">
        <v>3820</v>
      </c>
      <c r="AV5" s="7">
        <v>0.13</v>
      </c>
      <c r="AY5" s="3" t="s">
        <v>3367</v>
      </c>
      <c r="BA5" s="3" t="s">
        <v>3821</v>
      </c>
      <c r="BB5" s="3" t="s">
        <v>3822</v>
      </c>
      <c r="BC5" s="3" t="s">
        <v>3809</v>
      </c>
      <c r="BD5" s="3" t="s">
        <v>3823</v>
      </c>
      <c r="BE5" s="3" t="s">
        <v>3824</v>
      </c>
      <c r="BF5" s="3" t="s">
        <v>3566</v>
      </c>
      <c r="BG5" s="3" t="s">
        <v>3566</v>
      </c>
      <c r="BH5" s="3" t="s">
        <v>3809</v>
      </c>
      <c r="BI5" s="3" t="s">
        <v>3825</v>
      </c>
      <c r="BJ5" s="3" t="s">
        <v>3826</v>
      </c>
      <c r="BK5" s="3" t="s">
        <v>3471</v>
      </c>
      <c r="BL5" s="3" t="s">
        <v>3827</v>
      </c>
      <c r="BM5" s="3" t="s">
        <v>3600</v>
      </c>
      <c r="BN5" s="3" t="s">
        <v>3492</v>
      </c>
      <c r="BO5" s="3">
        <v>1.0500000000000001E-2</v>
      </c>
      <c r="BP5" s="3">
        <v>1.0500000000000001E-2</v>
      </c>
      <c r="BQ5" s="3">
        <v>1.0500000000000001E-2</v>
      </c>
      <c r="BR5" s="3">
        <v>148</v>
      </c>
      <c r="BS5" s="3">
        <v>140</v>
      </c>
      <c r="BT5" s="3">
        <v>17</v>
      </c>
      <c r="BU5" s="3">
        <v>1266</v>
      </c>
      <c r="BV5" s="3">
        <v>1102</v>
      </c>
      <c r="BW5" s="3">
        <v>467</v>
      </c>
      <c r="BX5" s="3">
        <v>950</v>
      </c>
      <c r="BY5" s="3" t="s">
        <v>111</v>
      </c>
      <c r="BZ5" s="3" t="s">
        <v>153</v>
      </c>
      <c r="CA5" s="3">
        <v>0</v>
      </c>
      <c r="CB5" s="3" t="s">
        <v>111</v>
      </c>
      <c r="CC5" s="3" t="s">
        <v>111</v>
      </c>
      <c r="CD5" s="3" t="s">
        <v>925</v>
      </c>
      <c r="CE5" s="3" t="s">
        <v>111</v>
      </c>
      <c r="CF5" s="3">
        <v>5022</v>
      </c>
      <c r="CI5" s="3">
        <f t="shared" ref="CI5:CI13" si="0">BQ5*BT5</f>
        <v>0.17850000000000002</v>
      </c>
      <c r="CN5" s="3" t="s">
        <v>3367</v>
      </c>
      <c r="CO5" s="3" t="s">
        <v>4707</v>
      </c>
    </row>
    <row r="6" spans="1:93" ht="16" x14ac:dyDescent="0.2">
      <c r="A6" s="3" t="s">
        <v>3368</v>
      </c>
      <c r="C6" s="5" t="s">
        <v>4726</v>
      </c>
      <c r="D6" s="4">
        <v>12</v>
      </c>
      <c r="E6" s="5" t="s">
        <v>4732</v>
      </c>
      <c r="G6" s="3" t="s">
        <v>4707</v>
      </c>
      <c r="H6" s="3">
        <v>18048</v>
      </c>
      <c r="I6" s="14">
        <v>45156.563194444447</v>
      </c>
      <c r="J6" s="14">
        <v>45168.754166666666</v>
      </c>
      <c r="K6" s="3" t="s">
        <v>957</v>
      </c>
      <c r="L6" s="3" t="s">
        <v>111</v>
      </c>
      <c r="M6" s="3" t="s">
        <v>111</v>
      </c>
      <c r="N6" s="3" t="s">
        <v>111</v>
      </c>
      <c r="O6" s="3" t="s">
        <v>112</v>
      </c>
      <c r="P6" s="3" t="s">
        <v>113</v>
      </c>
      <c r="Q6" s="3" t="s">
        <v>113</v>
      </c>
      <c r="R6" s="3">
        <v>0</v>
      </c>
      <c r="S6" s="3" t="s">
        <v>113</v>
      </c>
      <c r="T6" s="3">
        <v>0.8</v>
      </c>
      <c r="U6" s="3">
        <v>1</v>
      </c>
      <c r="V6" s="3">
        <v>270</v>
      </c>
      <c r="W6" s="3">
        <v>6</v>
      </c>
      <c r="X6" s="3">
        <v>8847</v>
      </c>
      <c r="Y6" s="3">
        <v>8.6800000000000002E-2</v>
      </c>
      <c r="Z6" s="3">
        <v>8.0299999999999996E-2</v>
      </c>
      <c r="AA6" s="3">
        <v>0.92530000000000001</v>
      </c>
      <c r="AB6" s="3" t="s">
        <v>113</v>
      </c>
      <c r="AC6" s="3" t="s">
        <v>3842</v>
      </c>
      <c r="AD6" s="3" t="s">
        <v>113</v>
      </c>
      <c r="AE6" s="3" t="s">
        <v>113</v>
      </c>
      <c r="AF6" s="3" t="s">
        <v>113</v>
      </c>
      <c r="AG6" s="3" t="s">
        <v>113</v>
      </c>
      <c r="AH6" s="3" t="s">
        <v>113</v>
      </c>
      <c r="AI6" s="3" t="s">
        <v>113</v>
      </c>
      <c r="AJ6" s="3">
        <v>866.39419999999996</v>
      </c>
      <c r="AK6" s="3" t="s">
        <v>3843</v>
      </c>
      <c r="AL6" s="3" t="s">
        <v>113</v>
      </c>
      <c r="AM6" s="3" t="s">
        <v>113</v>
      </c>
      <c r="AN6" s="3" t="s">
        <v>113</v>
      </c>
      <c r="AO6" s="3" t="s">
        <v>131</v>
      </c>
      <c r="AP6" s="3" t="s">
        <v>3844</v>
      </c>
      <c r="AQ6" s="3" t="s">
        <v>3460</v>
      </c>
      <c r="AR6" s="3" t="s">
        <v>3830</v>
      </c>
      <c r="AS6" s="3" t="s">
        <v>3845</v>
      </c>
      <c r="AT6" s="3" t="s">
        <v>3846</v>
      </c>
      <c r="AU6" s="3" t="s">
        <v>3847</v>
      </c>
      <c r="AV6" s="7">
        <v>0.121</v>
      </c>
      <c r="AY6" s="3" t="s">
        <v>3368</v>
      </c>
      <c r="BA6" s="3" t="s">
        <v>3848</v>
      </c>
      <c r="BB6" s="3" t="s">
        <v>3849</v>
      </c>
      <c r="BC6" s="3" t="s">
        <v>3850</v>
      </c>
      <c r="BD6" s="3" t="s">
        <v>3851</v>
      </c>
      <c r="BE6" s="3" t="s">
        <v>3798</v>
      </c>
      <c r="BF6" s="3" t="s">
        <v>3497</v>
      </c>
      <c r="BG6" s="3" t="s">
        <v>3430</v>
      </c>
      <c r="BH6" s="3" t="s">
        <v>3850</v>
      </c>
      <c r="BI6" s="3" t="s">
        <v>3852</v>
      </c>
      <c r="BJ6" s="3" t="s">
        <v>3599</v>
      </c>
      <c r="BK6" s="3" t="s">
        <v>3436</v>
      </c>
      <c r="BL6" s="3" t="s">
        <v>3853</v>
      </c>
      <c r="BM6" s="3" t="s">
        <v>3854</v>
      </c>
      <c r="BN6" s="3" t="s">
        <v>3436</v>
      </c>
      <c r="BO6" s="3">
        <v>1.0500000000000001E-2</v>
      </c>
      <c r="BP6" s="3">
        <v>1.0500000000000001E-2</v>
      </c>
      <c r="BQ6" s="3">
        <v>1.0500000000000001E-2</v>
      </c>
      <c r="BR6" s="3">
        <v>144</v>
      </c>
      <c r="BS6" s="3">
        <v>124</v>
      </c>
      <c r="BT6" s="3">
        <v>15</v>
      </c>
      <c r="BU6" s="3">
        <v>1161</v>
      </c>
      <c r="BV6" s="3">
        <v>1539</v>
      </c>
      <c r="BW6" s="3">
        <v>744</v>
      </c>
      <c r="BX6" s="3">
        <v>1110</v>
      </c>
      <c r="BY6" s="3" t="s">
        <v>111</v>
      </c>
      <c r="BZ6" s="3" t="s">
        <v>153</v>
      </c>
      <c r="CA6" s="3">
        <v>0</v>
      </c>
      <c r="CB6" s="3" t="s">
        <v>111</v>
      </c>
      <c r="CC6" s="3" t="s">
        <v>111</v>
      </c>
      <c r="CD6" s="3" t="s">
        <v>988</v>
      </c>
      <c r="CE6" s="3" t="s">
        <v>111</v>
      </c>
      <c r="CF6" s="3">
        <v>5022</v>
      </c>
      <c r="CI6" s="3">
        <f t="shared" si="0"/>
        <v>0.1575</v>
      </c>
      <c r="CN6" s="3" t="s">
        <v>3368</v>
      </c>
      <c r="CO6" s="3" t="s">
        <v>4707</v>
      </c>
    </row>
    <row r="7" spans="1:93" ht="16" x14ac:dyDescent="0.2">
      <c r="A7" s="3" t="s">
        <v>3369</v>
      </c>
      <c r="C7" s="4" t="s">
        <v>4726</v>
      </c>
      <c r="D7" s="4">
        <v>12</v>
      </c>
      <c r="E7" s="5" t="s">
        <v>4732</v>
      </c>
      <c r="G7" s="3" t="s">
        <v>4707</v>
      </c>
      <c r="H7" s="3">
        <v>18049</v>
      </c>
      <c r="I7" s="14">
        <v>45156.543055555558</v>
      </c>
      <c r="J7" s="14">
        <v>45168.769444444442</v>
      </c>
      <c r="K7" s="3" t="s">
        <v>1017</v>
      </c>
      <c r="L7" s="3" t="s">
        <v>111</v>
      </c>
      <c r="M7" s="3" t="s">
        <v>111</v>
      </c>
      <c r="N7" s="3" t="s">
        <v>111</v>
      </c>
      <c r="O7" s="3" t="s">
        <v>112</v>
      </c>
      <c r="P7" s="3" t="s">
        <v>113</v>
      </c>
      <c r="Q7" s="3" t="s">
        <v>113</v>
      </c>
      <c r="R7" s="3">
        <v>0</v>
      </c>
      <c r="S7" s="3" t="s">
        <v>113</v>
      </c>
      <c r="T7" s="3">
        <v>0.8</v>
      </c>
      <c r="U7" s="3">
        <v>1</v>
      </c>
      <c r="V7" s="3">
        <v>270</v>
      </c>
      <c r="W7" s="3">
        <v>6</v>
      </c>
      <c r="X7" s="3">
        <v>8847</v>
      </c>
      <c r="Y7" s="3">
        <v>0.1072</v>
      </c>
      <c r="Z7" s="3">
        <v>0.1019</v>
      </c>
      <c r="AA7" s="3">
        <v>0.94989999999999997</v>
      </c>
      <c r="AB7" s="3" t="s">
        <v>113</v>
      </c>
      <c r="AC7" s="3" t="s">
        <v>3867</v>
      </c>
      <c r="AD7" s="3" t="s">
        <v>113</v>
      </c>
      <c r="AE7" s="3" t="s">
        <v>113</v>
      </c>
      <c r="AF7" s="3" t="s">
        <v>113</v>
      </c>
      <c r="AG7" s="3" t="s">
        <v>113</v>
      </c>
      <c r="AH7" s="3" t="s">
        <v>113</v>
      </c>
      <c r="AI7" s="3" t="s">
        <v>113</v>
      </c>
      <c r="AJ7" s="3">
        <v>879.76859999999999</v>
      </c>
      <c r="AK7" s="3" t="s">
        <v>3868</v>
      </c>
      <c r="AL7" s="3" t="s">
        <v>113</v>
      </c>
      <c r="AM7" s="3" t="s">
        <v>113</v>
      </c>
      <c r="AN7" s="3" t="s">
        <v>113</v>
      </c>
      <c r="AO7" s="3" t="s">
        <v>131</v>
      </c>
      <c r="AP7" s="3" t="s">
        <v>3869</v>
      </c>
      <c r="AQ7" s="3" t="s">
        <v>3870</v>
      </c>
      <c r="AR7" s="3" t="s">
        <v>3871</v>
      </c>
      <c r="AS7" s="3" t="s">
        <v>3872</v>
      </c>
      <c r="AT7" s="3" t="s">
        <v>3873</v>
      </c>
      <c r="AU7" s="3" t="s">
        <v>3874</v>
      </c>
      <c r="AV7" s="7">
        <v>0.13800000000000001</v>
      </c>
      <c r="AY7" s="3" t="s">
        <v>3369</v>
      </c>
      <c r="BA7" s="3" t="s">
        <v>3875</v>
      </c>
      <c r="BB7" s="3" t="s">
        <v>3876</v>
      </c>
      <c r="BC7" s="3" t="s">
        <v>3468</v>
      </c>
      <c r="BD7" s="3" t="s">
        <v>3597</v>
      </c>
      <c r="BE7" s="3" t="s">
        <v>3435</v>
      </c>
      <c r="BF7" s="3" t="s">
        <v>3429</v>
      </c>
      <c r="BG7" s="3" t="s">
        <v>3429</v>
      </c>
      <c r="BH7" s="3" t="s">
        <v>3468</v>
      </c>
      <c r="BI7" s="3" t="s">
        <v>3697</v>
      </c>
      <c r="BJ7" s="3" t="s">
        <v>3877</v>
      </c>
      <c r="BK7" s="3" t="s">
        <v>3433</v>
      </c>
      <c r="BL7" s="3" t="s">
        <v>3878</v>
      </c>
      <c r="BM7" s="3" t="s">
        <v>3653</v>
      </c>
      <c r="BN7" s="3" t="s">
        <v>3497</v>
      </c>
      <c r="BO7" s="3">
        <v>1.0500000000000001E-2</v>
      </c>
      <c r="BP7" s="3">
        <v>1.0500000000000001E-2</v>
      </c>
      <c r="BQ7" s="3">
        <v>1.0500000000000001E-2</v>
      </c>
      <c r="BR7" s="3">
        <v>132</v>
      </c>
      <c r="BS7" s="3">
        <v>148</v>
      </c>
      <c r="BT7" s="3">
        <v>14</v>
      </c>
      <c r="BU7" s="3">
        <v>556</v>
      </c>
      <c r="BV7" s="3">
        <v>1437</v>
      </c>
      <c r="BW7" s="3">
        <v>832</v>
      </c>
      <c r="BX7" s="3">
        <v>1126</v>
      </c>
      <c r="BY7" s="3" t="s">
        <v>111</v>
      </c>
      <c r="BZ7" s="3" t="s">
        <v>153</v>
      </c>
      <c r="CA7" s="3">
        <v>0</v>
      </c>
      <c r="CB7" s="3" t="s">
        <v>111</v>
      </c>
      <c r="CC7" s="3" t="s">
        <v>111</v>
      </c>
      <c r="CD7" s="3" t="s">
        <v>1046</v>
      </c>
      <c r="CE7" s="3" t="s">
        <v>111</v>
      </c>
      <c r="CF7" s="3">
        <v>5022</v>
      </c>
      <c r="CI7" s="3">
        <f t="shared" si="0"/>
        <v>0.14700000000000002</v>
      </c>
      <c r="CN7" s="3" t="s">
        <v>3369</v>
      </c>
      <c r="CO7" s="3" t="s">
        <v>4707</v>
      </c>
    </row>
    <row r="8" spans="1:93" x14ac:dyDescent="0.2">
      <c r="A8" s="3" t="s">
        <v>3401</v>
      </c>
      <c r="C8" s="5" t="s">
        <v>4727</v>
      </c>
      <c r="D8" s="5">
        <v>10</v>
      </c>
      <c r="E8" s="5" t="s">
        <v>4732</v>
      </c>
      <c r="G8" s="3" t="s">
        <v>4707</v>
      </c>
      <c r="H8" s="3">
        <v>17302</v>
      </c>
      <c r="I8" s="14">
        <v>44747.53125</v>
      </c>
      <c r="J8" s="14">
        <v>45159.525000000001</v>
      </c>
      <c r="K8" s="3" t="s">
        <v>2591</v>
      </c>
      <c r="L8" s="3" t="s">
        <v>111</v>
      </c>
      <c r="M8" s="3" t="s">
        <v>111</v>
      </c>
      <c r="N8" s="3" t="s">
        <v>111</v>
      </c>
      <c r="O8" s="3" t="s">
        <v>112</v>
      </c>
      <c r="P8" s="3" t="s">
        <v>2165</v>
      </c>
      <c r="Q8" s="3" t="s">
        <v>2166</v>
      </c>
      <c r="R8" s="3">
        <v>36</v>
      </c>
      <c r="S8" s="3" t="s">
        <v>2167</v>
      </c>
      <c r="T8" s="3">
        <v>0.8</v>
      </c>
      <c r="U8" s="3">
        <v>1</v>
      </c>
      <c r="V8" s="3">
        <v>270</v>
      </c>
      <c r="W8" s="3">
        <v>6</v>
      </c>
      <c r="X8" s="3">
        <v>8847</v>
      </c>
      <c r="Y8" s="3">
        <v>0.10390000000000001</v>
      </c>
      <c r="Z8" s="3">
        <v>9.1600000000000001E-2</v>
      </c>
      <c r="AA8" s="3">
        <v>0.88190000000000002</v>
      </c>
      <c r="AB8" s="3" t="s">
        <v>113</v>
      </c>
      <c r="AC8" s="3" t="s">
        <v>4486</v>
      </c>
      <c r="AD8" s="3" t="s">
        <v>113</v>
      </c>
      <c r="AE8" s="3" t="s">
        <v>113</v>
      </c>
      <c r="AF8" s="3" t="s">
        <v>113</v>
      </c>
      <c r="AG8" s="3" t="s">
        <v>113</v>
      </c>
      <c r="AH8" s="3" t="s">
        <v>113</v>
      </c>
      <c r="AI8" s="3" t="s">
        <v>113</v>
      </c>
      <c r="AJ8" s="3">
        <v>821.90980000000002</v>
      </c>
      <c r="AK8" s="3" t="s">
        <v>4487</v>
      </c>
      <c r="AL8" s="3" t="s">
        <v>113</v>
      </c>
      <c r="AM8" s="3" t="s">
        <v>113</v>
      </c>
      <c r="AN8" s="3" t="s">
        <v>113</v>
      </c>
      <c r="AO8" s="3" t="s">
        <v>131</v>
      </c>
      <c r="AP8" s="3" t="s">
        <v>4195</v>
      </c>
      <c r="AQ8" s="3" t="s">
        <v>3448</v>
      </c>
      <c r="AR8" s="3" t="s">
        <v>4488</v>
      </c>
      <c r="AS8" s="3" t="s">
        <v>4489</v>
      </c>
      <c r="AT8" s="3" t="s">
        <v>4045</v>
      </c>
      <c r="AU8" s="3" t="s">
        <v>4490</v>
      </c>
      <c r="AV8" s="7">
        <v>0.126</v>
      </c>
      <c r="AY8" s="3" t="s">
        <v>3401</v>
      </c>
      <c r="BA8" s="3" t="s">
        <v>3508</v>
      </c>
      <c r="BB8" s="3" t="s">
        <v>4491</v>
      </c>
      <c r="BC8" s="3" t="s">
        <v>4024</v>
      </c>
      <c r="BD8" s="3" t="s">
        <v>4492</v>
      </c>
      <c r="BE8" s="3" t="s">
        <v>4493</v>
      </c>
      <c r="BF8" s="3" t="s">
        <v>3429</v>
      </c>
      <c r="BG8" s="3" t="s">
        <v>3429</v>
      </c>
      <c r="BH8" s="3" t="s">
        <v>4024</v>
      </c>
      <c r="BI8" s="3" t="s">
        <v>4494</v>
      </c>
      <c r="BJ8" s="3" t="s">
        <v>4191</v>
      </c>
      <c r="BK8" s="3" t="s">
        <v>3429</v>
      </c>
      <c r="BL8" s="3" t="s">
        <v>4495</v>
      </c>
      <c r="BM8" s="3" t="s">
        <v>3522</v>
      </c>
      <c r="BN8" s="3" t="s">
        <v>3566</v>
      </c>
      <c r="BO8" s="3">
        <v>1.0500000000000001E-2</v>
      </c>
      <c r="BP8" s="3">
        <v>1.0500000000000001E-2</v>
      </c>
      <c r="BQ8" s="3">
        <v>1.0500000000000001E-2</v>
      </c>
      <c r="BR8" s="3">
        <v>140</v>
      </c>
      <c r="BS8" s="3">
        <v>124</v>
      </c>
      <c r="BT8" s="3">
        <v>15</v>
      </c>
      <c r="BU8" s="3">
        <v>1273</v>
      </c>
      <c r="BV8" s="3">
        <v>1187</v>
      </c>
      <c r="BW8" s="3">
        <v>620</v>
      </c>
      <c r="BX8" s="3">
        <v>1685</v>
      </c>
      <c r="BY8" s="3" t="s">
        <v>153</v>
      </c>
      <c r="BZ8" s="3" t="s">
        <v>153</v>
      </c>
      <c r="CA8" s="3">
        <v>0</v>
      </c>
      <c r="CB8" s="3" t="s">
        <v>2593</v>
      </c>
      <c r="CC8" s="3" t="s">
        <v>111</v>
      </c>
      <c r="CD8" s="3" t="s">
        <v>2593</v>
      </c>
      <c r="CE8" s="3" t="s">
        <v>111</v>
      </c>
      <c r="CF8" s="3">
        <v>5022</v>
      </c>
      <c r="CI8" s="3">
        <f t="shared" si="0"/>
        <v>0.1575</v>
      </c>
      <c r="CN8" s="3" t="s">
        <v>3401</v>
      </c>
      <c r="CO8" s="3" t="s">
        <v>4707</v>
      </c>
    </row>
    <row r="9" spans="1:93" x14ac:dyDescent="0.2">
      <c r="A9" s="3" t="s">
        <v>3402</v>
      </c>
      <c r="C9" s="5" t="s">
        <v>4727</v>
      </c>
      <c r="D9" s="5">
        <v>10</v>
      </c>
      <c r="E9" s="5" t="s">
        <v>4732</v>
      </c>
      <c r="G9" s="3" t="s">
        <v>4707</v>
      </c>
      <c r="H9" s="3">
        <v>17302</v>
      </c>
      <c r="I9" s="14">
        <v>44747.53125</v>
      </c>
      <c r="J9" s="14">
        <v>45159.525694444441</v>
      </c>
      <c r="K9" s="3" t="s">
        <v>2591</v>
      </c>
      <c r="L9" s="3" t="s">
        <v>111</v>
      </c>
      <c r="M9" s="3" t="s">
        <v>111</v>
      </c>
      <c r="N9" s="3" t="s">
        <v>111</v>
      </c>
      <c r="O9" s="3" t="s">
        <v>112</v>
      </c>
      <c r="P9" s="3" t="s">
        <v>2165</v>
      </c>
      <c r="Q9" s="3" t="s">
        <v>2166</v>
      </c>
      <c r="R9" s="3">
        <v>36</v>
      </c>
      <c r="S9" s="3" t="s">
        <v>2167</v>
      </c>
      <c r="T9" s="3">
        <v>0.8</v>
      </c>
      <c r="U9" s="3">
        <v>1</v>
      </c>
      <c r="V9" s="3">
        <v>270</v>
      </c>
      <c r="W9" s="3">
        <v>6</v>
      </c>
      <c r="X9" s="3">
        <v>8847</v>
      </c>
      <c r="Y9" s="3">
        <v>6.59E-2</v>
      </c>
      <c r="Z9" s="3">
        <v>5.74E-2</v>
      </c>
      <c r="AA9" s="3">
        <v>0.872</v>
      </c>
      <c r="AB9" s="3" t="s">
        <v>113</v>
      </c>
      <c r="AC9" s="3" t="s">
        <v>4496</v>
      </c>
      <c r="AD9" s="3" t="s">
        <v>113</v>
      </c>
      <c r="AE9" s="3" t="s">
        <v>113</v>
      </c>
      <c r="AF9" s="3" t="s">
        <v>113</v>
      </c>
      <c r="AG9" s="3" t="s">
        <v>113</v>
      </c>
      <c r="AH9" s="3" t="s">
        <v>113</v>
      </c>
      <c r="AI9" s="3" t="s">
        <v>113</v>
      </c>
      <c r="AJ9" s="3">
        <v>856.58150000000001</v>
      </c>
      <c r="AK9" s="3" t="s">
        <v>4497</v>
      </c>
      <c r="AL9" s="3" t="s">
        <v>113</v>
      </c>
      <c r="AM9" s="3" t="s">
        <v>113</v>
      </c>
      <c r="AN9" s="3" t="s">
        <v>113</v>
      </c>
      <c r="AO9" s="3" t="s">
        <v>131</v>
      </c>
      <c r="AP9" s="3" t="s">
        <v>3459</v>
      </c>
      <c r="AQ9" s="3" t="s">
        <v>3569</v>
      </c>
      <c r="AR9" s="3" t="s">
        <v>4041</v>
      </c>
      <c r="AS9" s="3" t="s">
        <v>4498</v>
      </c>
      <c r="AT9" s="3" t="s">
        <v>4499</v>
      </c>
      <c r="AU9" s="3" t="s">
        <v>4500</v>
      </c>
      <c r="AV9" s="7">
        <v>0.14099999999999999</v>
      </c>
      <c r="AY9" s="3" t="s">
        <v>3402</v>
      </c>
      <c r="BA9" s="3" t="s">
        <v>3687</v>
      </c>
      <c r="BB9" s="3" t="s">
        <v>4501</v>
      </c>
      <c r="BC9" s="3" t="s">
        <v>4440</v>
      </c>
      <c r="BD9" s="3" t="s">
        <v>4316</v>
      </c>
      <c r="BE9" s="3" t="s">
        <v>4502</v>
      </c>
      <c r="BF9" s="3" t="s">
        <v>3535</v>
      </c>
      <c r="BG9" s="3" t="s">
        <v>3433</v>
      </c>
      <c r="BH9" s="3" t="s">
        <v>3779</v>
      </c>
      <c r="BI9" s="3" t="s">
        <v>3850</v>
      </c>
      <c r="BJ9" s="3" t="s">
        <v>4261</v>
      </c>
      <c r="BK9" s="3" t="s">
        <v>3497</v>
      </c>
      <c r="BL9" s="3" t="s">
        <v>4503</v>
      </c>
      <c r="BM9" s="3" t="s">
        <v>4504</v>
      </c>
      <c r="BN9" s="3" t="s">
        <v>3456</v>
      </c>
      <c r="BO9" s="3">
        <v>1.0500000000000001E-2</v>
      </c>
      <c r="BP9" s="3">
        <v>1.0500000000000001E-2</v>
      </c>
      <c r="BQ9" s="3">
        <v>1.0500000000000001E-2</v>
      </c>
      <c r="BR9" s="3">
        <v>84</v>
      </c>
      <c r="BS9" s="3">
        <v>124</v>
      </c>
      <c r="BT9" s="3">
        <v>21</v>
      </c>
      <c r="BU9" s="3">
        <v>1011</v>
      </c>
      <c r="BV9" s="3">
        <v>1599</v>
      </c>
      <c r="BW9" s="3">
        <v>449</v>
      </c>
      <c r="BX9" s="3">
        <v>1685</v>
      </c>
      <c r="BY9" s="3" t="s">
        <v>153</v>
      </c>
      <c r="BZ9" s="3" t="s">
        <v>153</v>
      </c>
      <c r="CA9" s="3">
        <v>0</v>
      </c>
      <c r="CB9" s="3" t="s">
        <v>2593</v>
      </c>
      <c r="CC9" s="3" t="s">
        <v>111</v>
      </c>
      <c r="CD9" s="3" t="s">
        <v>2593</v>
      </c>
      <c r="CE9" s="3" t="s">
        <v>111</v>
      </c>
      <c r="CF9" s="3">
        <v>5022</v>
      </c>
      <c r="CI9" s="3">
        <f t="shared" si="0"/>
        <v>0.2205</v>
      </c>
      <c r="CN9" s="3" t="s">
        <v>3402</v>
      </c>
      <c r="CO9" s="3" t="s">
        <v>4707</v>
      </c>
    </row>
    <row r="10" spans="1:93" x14ac:dyDescent="0.2">
      <c r="A10" s="3" t="s">
        <v>3403</v>
      </c>
      <c r="C10" s="5" t="s">
        <v>4727</v>
      </c>
      <c r="D10" s="5">
        <v>12</v>
      </c>
      <c r="E10" s="5" t="s">
        <v>4732</v>
      </c>
      <c r="G10" s="3" t="s">
        <v>4707</v>
      </c>
      <c r="H10" s="3">
        <v>17302</v>
      </c>
      <c r="I10" s="14">
        <v>44747.53125</v>
      </c>
      <c r="J10" s="14">
        <v>45159.527083333334</v>
      </c>
      <c r="K10" s="3" t="s">
        <v>2591</v>
      </c>
      <c r="L10" s="3" t="s">
        <v>111</v>
      </c>
      <c r="M10" s="3" t="s">
        <v>111</v>
      </c>
      <c r="N10" s="3" t="s">
        <v>111</v>
      </c>
      <c r="O10" s="3" t="s">
        <v>112</v>
      </c>
      <c r="P10" s="3" t="s">
        <v>2165</v>
      </c>
      <c r="Q10" s="3" t="s">
        <v>2166</v>
      </c>
      <c r="R10" s="3">
        <v>36</v>
      </c>
      <c r="S10" s="3" t="s">
        <v>2167</v>
      </c>
      <c r="T10" s="3">
        <v>0.8</v>
      </c>
      <c r="U10" s="3">
        <v>1</v>
      </c>
      <c r="V10" s="3">
        <v>270</v>
      </c>
      <c r="W10" s="3">
        <v>6</v>
      </c>
      <c r="X10" s="3">
        <v>8847</v>
      </c>
      <c r="Y10" s="3">
        <v>0.13270000000000001</v>
      </c>
      <c r="Z10" s="3">
        <v>0.11550000000000001</v>
      </c>
      <c r="AA10" s="3">
        <v>0.87050000000000005</v>
      </c>
      <c r="AB10" s="3" t="s">
        <v>113</v>
      </c>
      <c r="AC10" s="3" t="s">
        <v>4505</v>
      </c>
      <c r="AD10" s="3" t="s">
        <v>113</v>
      </c>
      <c r="AE10" s="3" t="s">
        <v>113</v>
      </c>
      <c r="AF10" s="3" t="s">
        <v>113</v>
      </c>
      <c r="AG10" s="3" t="s">
        <v>113</v>
      </c>
      <c r="AH10" s="3" t="s">
        <v>113</v>
      </c>
      <c r="AI10" s="3" t="s">
        <v>113</v>
      </c>
      <c r="AJ10" s="3">
        <v>826.48910000000001</v>
      </c>
      <c r="AK10" s="3" t="s">
        <v>4506</v>
      </c>
      <c r="AL10" s="3" t="s">
        <v>113</v>
      </c>
      <c r="AM10" s="3" t="s">
        <v>113</v>
      </c>
      <c r="AN10" s="3" t="s">
        <v>113</v>
      </c>
      <c r="AO10" s="3" t="s">
        <v>131</v>
      </c>
      <c r="AP10" s="3" t="s">
        <v>4507</v>
      </c>
      <c r="AQ10" s="3" t="s">
        <v>3552</v>
      </c>
      <c r="AR10" s="3" t="s">
        <v>3459</v>
      </c>
      <c r="AS10" s="3" t="s">
        <v>4508</v>
      </c>
      <c r="AT10" s="3" t="s">
        <v>4509</v>
      </c>
      <c r="AU10" s="3" t="s">
        <v>4510</v>
      </c>
      <c r="AV10" s="7">
        <v>0.14099999999999999</v>
      </c>
      <c r="AY10" s="3" t="s">
        <v>3403</v>
      </c>
      <c r="BA10" s="3" t="s">
        <v>4369</v>
      </c>
      <c r="BB10" s="3" t="s">
        <v>4511</v>
      </c>
      <c r="BC10" s="3" t="s">
        <v>3870</v>
      </c>
      <c r="BD10" s="3" t="s">
        <v>3449</v>
      </c>
      <c r="BE10" s="3" t="s">
        <v>3508</v>
      </c>
      <c r="BF10" s="3" t="s">
        <v>3497</v>
      </c>
      <c r="BG10" s="3" t="s">
        <v>3433</v>
      </c>
      <c r="BH10" s="3" t="s">
        <v>3870</v>
      </c>
      <c r="BI10" s="3" t="s">
        <v>3938</v>
      </c>
      <c r="BJ10" s="3" t="s">
        <v>4512</v>
      </c>
      <c r="BK10" s="3" t="s">
        <v>3474</v>
      </c>
      <c r="BL10" s="3" t="s">
        <v>3426</v>
      </c>
      <c r="BM10" s="3" t="s">
        <v>3691</v>
      </c>
      <c r="BN10" s="3" t="s">
        <v>3515</v>
      </c>
      <c r="BO10" s="3">
        <v>1.0500000000000001E-2</v>
      </c>
      <c r="BP10" s="3">
        <v>1.0500000000000001E-2</v>
      </c>
      <c r="BQ10" s="3">
        <v>1.0500000000000001E-2</v>
      </c>
      <c r="BR10" s="3">
        <v>164</v>
      </c>
      <c r="BS10" s="3">
        <v>124</v>
      </c>
      <c r="BT10" s="3">
        <v>21</v>
      </c>
      <c r="BU10" s="3">
        <v>514</v>
      </c>
      <c r="BV10" s="3">
        <v>1584</v>
      </c>
      <c r="BW10" s="3">
        <v>358</v>
      </c>
      <c r="BX10" s="3">
        <v>1685</v>
      </c>
      <c r="BY10" s="3" t="s">
        <v>153</v>
      </c>
      <c r="BZ10" s="3" t="s">
        <v>153</v>
      </c>
      <c r="CA10" s="3">
        <v>0</v>
      </c>
      <c r="CB10" s="3" t="s">
        <v>2593</v>
      </c>
      <c r="CC10" s="3" t="s">
        <v>111</v>
      </c>
      <c r="CD10" s="3" t="s">
        <v>2593</v>
      </c>
      <c r="CE10" s="3" t="s">
        <v>111</v>
      </c>
      <c r="CF10" s="3">
        <v>5022</v>
      </c>
      <c r="CI10" s="3">
        <f t="shared" si="0"/>
        <v>0.2205</v>
      </c>
      <c r="CN10" s="3" t="s">
        <v>3403</v>
      </c>
      <c r="CO10" s="3" t="s">
        <v>4707</v>
      </c>
    </row>
    <row r="11" spans="1:93" x14ac:dyDescent="0.2">
      <c r="A11" s="3" t="s">
        <v>3404</v>
      </c>
      <c r="C11" s="5" t="s">
        <v>4726</v>
      </c>
      <c r="D11" s="5">
        <v>12</v>
      </c>
      <c r="E11" s="5" t="s">
        <v>4732</v>
      </c>
      <c r="G11" s="3" t="s">
        <v>4707</v>
      </c>
      <c r="H11" s="3">
        <v>17302</v>
      </c>
      <c r="I11" s="14">
        <v>44747.53125</v>
      </c>
      <c r="J11" s="14">
        <v>45159.52847222222</v>
      </c>
      <c r="K11" s="3" t="s">
        <v>2591</v>
      </c>
      <c r="L11" s="3" t="s">
        <v>111</v>
      </c>
      <c r="M11" s="3" t="s">
        <v>111</v>
      </c>
      <c r="N11" s="3" t="s">
        <v>111</v>
      </c>
      <c r="O11" s="3" t="s">
        <v>112</v>
      </c>
      <c r="P11" s="3" t="s">
        <v>2165</v>
      </c>
      <c r="Q11" s="3" t="s">
        <v>2166</v>
      </c>
      <c r="R11" s="3">
        <v>36</v>
      </c>
      <c r="S11" s="3" t="s">
        <v>2167</v>
      </c>
      <c r="T11" s="3">
        <v>0.8</v>
      </c>
      <c r="U11" s="3">
        <v>1</v>
      </c>
      <c r="V11" s="3">
        <v>270</v>
      </c>
      <c r="W11" s="3">
        <v>6</v>
      </c>
      <c r="X11" s="3">
        <v>8847</v>
      </c>
      <c r="Y11" s="3">
        <v>0.13100000000000001</v>
      </c>
      <c r="Z11" s="3">
        <v>0.1099</v>
      </c>
      <c r="AA11" s="3">
        <v>0.8387</v>
      </c>
      <c r="AB11" s="3" t="s">
        <v>113</v>
      </c>
      <c r="AC11" s="3" t="s">
        <v>4513</v>
      </c>
      <c r="AD11" s="3" t="s">
        <v>113</v>
      </c>
      <c r="AE11" s="3" t="s">
        <v>113</v>
      </c>
      <c r="AF11" s="3" t="s">
        <v>113</v>
      </c>
      <c r="AG11" s="3" t="s">
        <v>113</v>
      </c>
      <c r="AH11" s="3" t="s">
        <v>113</v>
      </c>
      <c r="AI11" s="3" t="s">
        <v>113</v>
      </c>
      <c r="AJ11" s="3">
        <v>836.30179999999996</v>
      </c>
      <c r="AK11" s="3" t="s">
        <v>4514</v>
      </c>
      <c r="AL11" s="3" t="s">
        <v>113</v>
      </c>
      <c r="AM11" s="3" t="s">
        <v>113</v>
      </c>
      <c r="AN11" s="3" t="s">
        <v>113</v>
      </c>
      <c r="AO11" s="3" t="s">
        <v>131</v>
      </c>
      <c r="AP11" s="3" t="s">
        <v>4029</v>
      </c>
      <c r="AQ11" s="3" t="s">
        <v>4278</v>
      </c>
      <c r="AR11" s="3" t="s">
        <v>4007</v>
      </c>
      <c r="AS11" s="3" t="s">
        <v>4515</v>
      </c>
      <c r="AT11" s="3" t="s">
        <v>4516</v>
      </c>
      <c r="AU11" s="3" t="s">
        <v>3642</v>
      </c>
      <c r="AV11" s="7">
        <v>0.14499999999999999</v>
      </c>
      <c r="AY11" s="3" t="s">
        <v>3404</v>
      </c>
      <c r="BA11" s="3" t="s">
        <v>4517</v>
      </c>
      <c r="BB11" s="3" t="s">
        <v>4518</v>
      </c>
      <c r="BC11" s="3" t="s">
        <v>3541</v>
      </c>
      <c r="BD11" s="3" t="s">
        <v>4519</v>
      </c>
      <c r="BE11" s="3" t="s">
        <v>3706</v>
      </c>
      <c r="BF11" s="3" t="s">
        <v>3474</v>
      </c>
      <c r="BG11" s="3" t="s">
        <v>3584</v>
      </c>
      <c r="BH11" s="3" t="s">
        <v>3541</v>
      </c>
      <c r="BI11" s="3" t="s">
        <v>3840</v>
      </c>
      <c r="BJ11" s="3" t="s">
        <v>4520</v>
      </c>
      <c r="BK11" s="3" t="s">
        <v>3617</v>
      </c>
      <c r="BL11" s="3" t="s">
        <v>4521</v>
      </c>
      <c r="BM11" s="3" t="s">
        <v>3804</v>
      </c>
      <c r="BN11" s="3" t="s">
        <v>4458</v>
      </c>
      <c r="BO11" s="3">
        <v>1.0500000000000001E-2</v>
      </c>
      <c r="BP11" s="3">
        <v>1.0500000000000001E-2</v>
      </c>
      <c r="BQ11" s="3">
        <v>1.0500000000000001E-2</v>
      </c>
      <c r="BR11" s="3">
        <v>128</v>
      </c>
      <c r="BS11" s="3">
        <v>140</v>
      </c>
      <c r="BT11" s="3">
        <v>22</v>
      </c>
      <c r="BU11" s="3">
        <v>138</v>
      </c>
      <c r="BV11" s="3">
        <v>1161</v>
      </c>
      <c r="BW11" s="3">
        <v>316</v>
      </c>
      <c r="BX11" s="3">
        <v>1685</v>
      </c>
      <c r="BY11" s="3" t="s">
        <v>153</v>
      </c>
      <c r="BZ11" s="3" t="s">
        <v>153</v>
      </c>
      <c r="CA11" s="3">
        <v>0</v>
      </c>
      <c r="CB11" s="3" t="s">
        <v>2593</v>
      </c>
      <c r="CC11" s="3" t="s">
        <v>111</v>
      </c>
      <c r="CD11" s="3" t="s">
        <v>2593</v>
      </c>
      <c r="CE11" s="3" t="s">
        <v>111</v>
      </c>
      <c r="CF11" s="3">
        <v>5022</v>
      </c>
      <c r="CI11" s="3">
        <f t="shared" si="0"/>
        <v>0.23100000000000001</v>
      </c>
      <c r="CN11" s="3" t="s">
        <v>3404</v>
      </c>
      <c r="CO11" s="3" t="s">
        <v>4707</v>
      </c>
    </row>
    <row r="12" spans="1:93" x14ac:dyDescent="0.2">
      <c r="A12" s="3" t="s">
        <v>3405</v>
      </c>
      <c r="C12" s="5" t="s">
        <v>4726</v>
      </c>
      <c r="D12" s="5">
        <v>12</v>
      </c>
      <c r="E12" s="5" t="s">
        <v>4732</v>
      </c>
      <c r="G12" s="3" t="s">
        <v>4707</v>
      </c>
      <c r="H12" s="3">
        <v>17303</v>
      </c>
      <c r="I12" s="14">
        <v>44747.633333333331</v>
      </c>
      <c r="J12" s="14">
        <v>45159.758333333331</v>
      </c>
      <c r="K12" s="3" t="s">
        <v>2986</v>
      </c>
      <c r="L12" s="3" t="s">
        <v>111</v>
      </c>
      <c r="M12" s="3" t="s">
        <v>111</v>
      </c>
      <c r="N12" s="3" t="s">
        <v>111</v>
      </c>
      <c r="O12" s="3" t="s">
        <v>112</v>
      </c>
      <c r="P12" s="3" t="s">
        <v>2165</v>
      </c>
      <c r="Q12" s="3" t="s">
        <v>2166</v>
      </c>
      <c r="R12" s="3">
        <v>36</v>
      </c>
      <c r="S12" s="3" t="s">
        <v>2167</v>
      </c>
      <c r="T12" s="3">
        <v>0.8</v>
      </c>
      <c r="U12" s="3">
        <v>1</v>
      </c>
      <c r="V12" s="3">
        <v>270</v>
      </c>
      <c r="W12" s="3">
        <v>6</v>
      </c>
      <c r="X12" s="3">
        <v>8847</v>
      </c>
      <c r="Y12" s="3">
        <v>9.0399999999999994E-2</v>
      </c>
      <c r="Z12" s="3">
        <v>7.8700000000000006E-2</v>
      </c>
      <c r="AA12" s="3">
        <v>0.87080000000000002</v>
      </c>
      <c r="AB12" s="3" t="s">
        <v>113</v>
      </c>
      <c r="AC12" s="3" t="s">
        <v>4589</v>
      </c>
      <c r="AD12" s="3" t="s">
        <v>113</v>
      </c>
      <c r="AE12" s="3" t="s">
        <v>113</v>
      </c>
      <c r="AF12" s="3" t="s">
        <v>113</v>
      </c>
      <c r="AG12" s="3" t="s">
        <v>113</v>
      </c>
      <c r="AH12" s="3" t="s">
        <v>113</v>
      </c>
      <c r="AI12" s="3" t="s">
        <v>113</v>
      </c>
      <c r="AJ12" s="3">
        <v>826.92520000000002</v>
      </c>
      <c r="AK12" s="3" t="s">
        <v>4590</v>
      </c>
      <c r="AL12" s="3" t="s">
        <v>113</v>
      </c>
      <c r="AM12" s="3" t="s">
        <v>113</v>
      </c>
      <c r="AN12" s="3" t="s">
        <v>113</v>
      </c>
      <c r="AO12" s="3" t="s">
        <v>131</v>
      </c>
      <c r="AP12" s="3" t="s">
        <v>3482</v>
      </c>
      <c r="AQ12" s="3" t="s">
        <v>3850</v>
      </c>
      <c r="AR12" s="3" t="s">
        <v>3600</v>
      </c>
      <c r="AS12" s="3" t="s">
        <v>4591</v>
      </c>
      <c r="AT12" s="3" t="s">
        <v>4592</v>
      </c>
      <c r="AU12" s="3" t="s">
        <v>4593</v>
      </c>
      <c r="AV12" s="7">
        <v>0.122</v>
      </c>
      <c r="AY12" s="3" t="s">
        <v>3405</v>
      </c>
      <c r="BA12" s="3" t="s">
        <v>4594</v>
      </c>
      <c r="BB12" s="3" t="s">
        <v>4595</v>
      </c>
      <c r="BC12" s="3" t="s">
        <v>4070</v>
      </c>
      <c r="BD12" s="3" t="s">
        <v>3901</v>
      </c>
      <c r="BE12" s="3" t="s">
        <v>4195</v>
      </c>
      <c r="BF12" s="3" t="s">
        <v>3433</v>
      </c>
      <c r="BG12" s="3" t="s">
        <v>3433</v>
      </c>
      <c r="BH12" s="3" t="s">
        <v>4070</v>
      </c>
      <c r="BI12" s="3" t="s">
        <v>3661</v>
      </c>
      <c r="BJ12" s="3" t="s">
        <v>4596</v>
      </c>
      <c r="BK12" s="3" t="s">
        <v>3584</v>
      </c>
      <c r="BL12" s="3" t="s">
        <v>4597</v>
      </c>
      <c r="BM12" s="3" t="s">
        <v>3878</v>
      </c>
      <c r="BN12" s="3" t="s">
        <v>3903</v>
      </c>
      <c r="BO12" s="3">
        <v>1.0500000000000001E-2</v>
      </c>
      <c r="BP12" s="3">
        <v>1.0500000000000001E-2</v>
      </c>
      <c r="BQ12" s="3">
        <v>1.0500000000000001E-2</v>
      </c>
      <c r="BR12" s="3">
        <v>136</v>
      </c>
      <c r="BS12" s="3">
        <v>124</v>
      </c>
      <c r="BT12" s="3">
        <v>17</v>
      </c>
      <c r="BU12" s="3">
        <v>500</v>
      </c>
      <c r="BV12" s="3">
        <v>591</v>
      </c>
      <c r="BW12" s="3">
        <v>574</v>
      </c>
      <c r="BX12" s="3">
        <v>1126</v>
      </c>
      <c r="BY12" s="3" t="s">
        <v>153</v>
      </c>
      <c r="BZ12" s="3" t="s">
        <v>153</v>
      </c>
      <c r="CA12" s="3">
        <v>0</v>
      </c>
      <c r="CB12" s="3" t="s">
        <v>2990</v>
      </c>
      <c r="CC12" s="3" t="s">
        <v>111</v>
      </c>
      <c r="CD12" s="3" t="s">
        <v>2990</v>
      </c>
      <c r="CE12" s="3" t="s">
        <v>111</v>
      </c>
      <c r="CF12" s="3">
        <v>5022</v>
      </c>
      <c r="CI12" s="3">
        <f t="shared" si="0"/>
        <v>0.17850000000000002</v>
      </c>
      <c r="CN12" s="3" t="s">
        <v>3405</v>
      </c>
      <c r="CO12" s="3" t="s">
        <v>4707</v>
      </c>
    </row>
    <row r="13" spans="1:93" x14ac:dyDescent="0.2">
      <c r="A13" s="3" t="s">
        <v>3406</v>
      </c>
      <c r="C13" s="5" t="s">
        <v>4726</v>
      </c>
      <c r="D13" s="5">
        <v>12</v>
      </c>
      <c r="E13" s="5" t="s">
        <v>4732</v>
      </c>
      <c r="G13" s="3" t="s">
        <v>4707</v>
      </c>
      <c r="H13" s="3">
        <v>17303</v>
      </c>
      <c r="I13" s="14">
        <v>44747.633333333331</v>
      </c>
      <c r="J13" s="14">
        <v>45159.759722222225</v>
      </c>
      <c r="K13" s="3" t="s">
        <v>2986</v>
      </c>
      <c r="L13" s="3" t="s">
        <v>111</v>
      </c>
      <c r="M13" s="3" t="s">
        <v>111</v>
      </c>
      <c r="N13" s="3" t="s">
        <v>111</v>
      </c>
      <c r="O13" s="3" t="s">
        <v>112</v>
      </c>
      <c r="P13" s="3" t="s">
        <v>2165</v>
      </c>
      <c r="Q13" s="3" t="s">
        <v>2166</v>
      </c>
      <c r="R13" s="3">
        <v>36</v>
      </c>
      <c r="S13" s="3" t="s">
        <v>2167</v>
      </c>
      <c r="T13" s="3">
        <v>0.8</v>
      </c>
      <c r="U13" s="3">
        <v>1</v>
      </c>
      <c r="V13" s="3">
        <v>270</v>
      </c>
      <c r="W13" s="3">
        <v>6</v>
      </c>
      <c r="X13" s="3">
        <v>8847</v>
      </c>
      <c r="Y13" s="3">
        <v>0.10440000000000001</v>
      </c>
      <c r="Z13" s="3">
        <v>7.9500000000000001E-2</v>
      </c>
      <c r="AA13" s="3">
        <v>0.76170000000000004</v>
      </c>
      <c r="AB13" s="3" t="s">
        <v>113</v>
      </c>
      <c r="AC13" s="3" t="s">
        <v>4598</v>
      </c>
      <c r="AD13" s="3" t="s">
        <v>113</v>
      </c>
      <c r="AE13" s="3" t="s">
        <v>113</v>
      </c>
      <c r="AF13" s="3" t="s">
        <v>113</v>
      </c>
      <c r="AG13" s="3" t="s">
        <v>113</v>
      </c>
      <c r="AH13" s="3" t="s">
        <v>113</v>
      </c>
      <c r="AI13" s="3" t="s">
        <v>113</v>
      </c>
      <c r="AJ13" s="3">
        <v>763.90560000000005</v>
      </c>
      <c r="AK13" s="3" t="s">
        <v>4599</v>
      </c>
      <c r="AL13" s="3" t="s">
        <v>113</v>
      </c>
      <c r="AM13" s="3" t="s">
        <v>113</v>
      </c>
      <c r="AN13" s="3" t="s">
        <v>113</v>
      </c>
      <c r="AO13" s="3" t="s">
        <v>131</v>
      </c>
      <c r="AP13" s="3" t="s">
        <v>4600</v>
      </c>
      <c r="AQ13" s="3" t="s">
        <v>3460</v>
      </c>
      <c r="AR13" s="3" t="s">
        <v>4195</v>
      </c>
      <c r="AS13" s="3" t="s">
        <v>4601</v>
      </c>
      <c r="AT13" s="3" t="s">
        <v>4602</v>
      </c>
      <c r="AU13" s="3" t="s">
        <v>4603</v>
      </c>
      <c r="AV13" s="7">
        <v>0.11600000000000001</v>
      </c>
      <c r="AY13" s="3" t="s">
        <v>3406</v>
      </c>
      <c r="BA13" s="3" t="s">
        <v>4604</v>
      </c>
      <c r="BB13" s="3" t="s">
        <v>4605</v>
      </c>
      <c r="BC13" s="3" t="s">
        <v>3548</v>
      </c>
      <c r="BD13" s="3" t="s">
        <v>3823</v>
      </c>
      <c r="BE13" s="3" t="s">
        <v>3419</v>
      </c>
      <c r="BF13" s="3" t="s">
        <v>3566</v>
      </c>
      <c r="BG13" s="3" t="s">
        <v>3903</v>
      </c>
      <c r="BH13" s="3" t="s">
        <v>3889</v>
      </c>
      <c r="BI13" s="3" t="s">
        <v>3823</v>
      </c>
      <c r="BJ13" s="3" t="s">
        <v>3997</v>
      </c>
      <c r="BK13" s="3" t="s">
        <v>3429</v>
      </c>
      <c r="BL13" s="3" t="s">
        <v>3707</v>
      </c>
      <c r="BM13" s="3" t="s">
        <v>4606</v>
      </c>
      <c r="BN13" s="3" t="s">
        <v>4458</v>
      </c>
      <c r="BO13" s="3">
        <v>1.0500000000000001E-2</v>
      </c>
      <c r="BP13" s="3">
        <v>1.0500000000000001E-2</v>
      </c>
      <c r="BQ13" s="3">
        <v>1.0500000000000001E-2</v>
      </c>
      <c r="BR13" s="3">
        <v>136</v>
      </c>
      <c r="BS13" s="3">
        <v>124</v>
      </c>
      <c r="BT13" s="3">
        <v>15</v>
      </c>
      <c r="BU13" s="3">
        <v>549</v>
      </c>
      <c r="BV13" s="3">
        <v>452</v>
      </c>
      <c r="BW13" s="3">
        <v>292</v>
      </c>
      <c r="BX13" s="3">
        <v>1126</v>
      </c>
      <c r="BY13" s="3" t="s">
        <v>153</v>
      </c>
      <c r="BZ13" s="3" t="s">
        <v>153</v>
      </c>
      <c r="CA13" s="3">
        <v>0</v>
      </c>
      <c r="CB13" s="3" t="s">
        <v>2990</v>
      </c>
      <c r="CC13" s="3" t="s">
        <v>111</v>
      </c>
      <c r="CD13" s="3" t="s">
        <v>2990</v>
      </c>
      <c r="CE13" s="3" t="s">
        <v>111</v>
      </c>
      <c r="CF13" s="3">
        <v>5022</v>
      </c>
      <c r="CI13" s="3">
        <f t="shared" si="0"/>
        <v>0.1575</v>
      </c>
      <c r="CN13" s="3" t="s">
        <v>3406</v>
      </c>
      <c r="CO13" s="3" t="s">
        <v>4707</v>
      </c>
    </row>
    <row r="14" spans="1:93" ht="16" x14ac:dyDescent="0.2">
      <c r="C14" s="4"/>
      <c r="D14" s="4"/>
    </row>
    <row r="15" spans="1:93" x14ac:dyDescent="0.2">
      <c r="A15" s="3" t="s">
        <v>3389</v>
      </c>
      <c r="C15" s="5" t="s">
        <v>4727</v>
      </c>
      <c r="D15" s="5">
        <v>10</v>
      </c>
      <c r="E15" s="5" t="s">
        <v>4733</v>
      </c>
      <c r="G15" s="3" t="s">
        <v>4707</v>
      </c>
      <c r="H15" s="3">
        <v>17301</v>
      </c>
      <c r="I15" s="14">
        <v>44747.459027777775</v>
      </c>
      <c r="J15" s="14">
        <v>45156.621527777781</v>
      </c>
      <c r="K15" s="3" t="s">
        <v>2164</v>
      </c>
      <c r="L15" s="3" t="s">
        <v>111</v>
      </c>
      <c r="M15" s="3" t="s">
        <v>111</v>
      </c>
      <c r="N15" s="3" t="s">
        <v>111</v>
      </c>
      <c r="O15" s="3" t="s">
        <v>112</v>
      </c>
      <c r="P15" s="3" t="s">
        <v>2165</v>
      </c>
      <c r="Q15" s="3" t="s">
        <v>2166</v>
      </c>
      <c r="R15" s="3">
        <v>36</v>
      </c>
      <c r="S15" s="3" t="s">
        <v>2167</v>
      </c>
      <c r="T15" s="3">
        <v>0.8</v>
      </c>
      <c r="U15" s="3">
        <v>1</v>
      </c>
      <c r="V15" s="3">
        <v>270</v>
      </c>
      <c r="W15" s="3">
        <v>6</v>
      </c>
      <c r="X15" s="3">
        <v>8847</v>
      </c>
      <c r="Y15" s="3">
        <v>0.1263</v>
      </c>
      <c r="Z15" s="3">
        <v>0.1021</v>
      </c>
      <c r="AA15" s="3">
        <v>0.80800000000000005</v>
      </c>
      <c r="AB15" s="3" t="s">
        <v>113</v>
      </c>
      <c r="AC15" s="3" t="s">
        <v>4310</v>
      </c>
      <c r="AD15" s="3" t="s">
        <v>113</v>
      </c>
      <c r="AE15" s="3" t="s">
        <v>113</v>
      </c>
      <c r="AF15" s="3" t="s">
        <v>113</v>
      </c>
      <c r="AG15" s="3" t="s">
        <v>113</v>
      </c>
      <c r="AH15" s="3" t="s">
        <v>113</v>
      </c>
      <c r="AI15" s="3" t="s">
        <v>113</v>
      </c>
      <c r="AJ15" s="3">
        <v>763.76020000000005</v>
      </c>
      <c r="AK15" s="3" t="s">
        <v>4252</v>
      </c>
      <c r="AL15" s="3" t="s">
        <v>113</v>
      </c>
      <c r="AM15" s="3" t="s">
        <v>113</v>
      </c>
      <c r="AN15" s="3" t="s">
        <v>113</v>
      </c>
      <c r="AO15" s="3" t="s">
        <v>131</v>
      </c>
      <c r="AP15" s="3" t="s">
        <v>3770</v>
      </c>
      <c r="AQ15" s="3" t="s">
        <v>3615</v>
      </c>
      <c r="AR15" s="3" t="s">
        <v>3491</v>
      </c>
      <c r="AS15" s="3" t="s">
        <v>4311</v>
      </c>
      <c r="AT15" s="3" t="s">
        <v>4312</v>
      </c>
      <c r="AU15" s="3" t="s">
        <v>4313</v>
      </c>
      <c r="AV15" s="7">
        <v>0.125</v>
      </c>
      <c r="AY15" s="3" t="s">
        <v>3389</v>
      </c>
      <c r="BA15" s="3" t="s">
        <v>4314</v>
      </c>
      <c r="BB15" s="3" t="s">
        <v>4315</v>
      </c>
      <c r="BC15" s="3" t="s">
        <v>3989</v>
      </c>
      <c r="BD15" s="3" t="s">
        <v>3741</v>
      </c>
      <c r="BE15" s="3" t="s">
        <v>3824</v>
      </c>
      <c r="BF15" s="3" t="s">
        <v>3492</v>
      </c>
      <c r="BG15" s="3" t="s">
        <v>3566</v>
      </c>
      <c r="BH15" s="3" t="s">
        <v>3989</v>
      </c>
      <c r="BI15" s="3" t="s">
        <v>4316</v>
      </c>
      <c r="BJ15" s="3" t="s">
        <v>3907</v>
      </c>
      <c r="BK15" s="3" t="s">
        <v>3903</v>
      </c>
      <c r="BL15" s="3" t="s">
        <v>4234</v>
      </c>
      <c r="BM15" s="3" t="s">
        <v>3857</v>
      </c>
      <c r="BN15" s="3" t="s">
        <v>3497</v>
      </c>
      <c r="BO15" s="3">
        <v>1.0500000000000001E-2</v>
      </c>
      <c r="BP15" s="3">
        <v>1.0500000000000001E-2</v>
      </c>
      <c r="BQ15" s="3">
        <v>1.0500000000000001E-2</v>
      </c>
      <c r="BR15" s="3">
        <v>172</v>
      </c>
      <c r="BS15" s="3">
        <v>132</v>
      </c>
      <c r="BT15" s="3">
        <v>19</v>
      </c>
      <c r="BU15" s="3">
        <v>219</v>
      </c>
      <c r="BV15" s="3">
        <v>579</v>
      </c>
      <c r="BW15" s="3">
        <v>250</v>
      </c>
      <c r="BX15" s="3">
        <v>1126</v>
      </c>
      <c r="BY15" s="3" t="s">
        <v>153</v>
      </c>
      <c r="BZ15" s="3" t="s">
        <v>153</v>
      </c>
      <c r="CA15" s="3">
        <v>0</v>
      </c>
      <c r="CB15" s="3" t="s">
        <v>2171</v>
      </c>
      <c r="CC15" s="3" t="s">
        <v>111</v>
      </c>
      <c r="CD15" s="3" t="s">
        <v>2171</v>
      </c>
      <c r="CE15" s="3" t="s">
        <v>111</v>
      </c>
      <c r="CF15" s="3">
        <v>5022</v>
      </c>
      <c r="CI15" s="3">
        <f t="shared" ref="CI15:CI20" si="1">BQ15*BT15</f>
        <v>0.19950000000000001</v>
      </c>
      <c r="CN15" s="3" t="s">
        <v>3389</v>
      </c>
      <c r="CO15" s="3" t="s">
        <v>4707</v>
      </c>
    </row>
    <row r="16" spans="1:93" x14ac:dyDescent="0.2">
      <c r="A16" s="3" t="s">
        <v>3390</v>
      </c>
      <c r="C16" s="5" t="s">
        <v>4727</v>
      </c>
      <c r="D16" s="5">
        <v>10</v>
      </c>
      <c r="E16" s="5" t="s">
        <v>4733</v>
      </c>
      <c r="G16" s="3" t="s">
        <v>4707</v>
      </c>
      <c r="H16" s="3">
        <v>17301</v>
      </c>
      <c r="I16" s="14">
        <v>44747.459027777775</v>
      </c>
      <c r="J16" s="14">
        <v>45156.624305555553</v>
      </c>
      <c r="K16" s="3" t="s">
        <v>2164</v>
      </c>
      <c r="L16" s="3" t="s">
        <v>111</v>
      </c>
      <c r="M16" s="3" t="s">
        <v>111</v>
      </c>
      <c r="N16" s="3" t="s">
        <v>111</v>
      </c>
      <c r="O16" s="3" t="s">
        <v>112</v>
      </c>
      <c r="P16" s="3" t="s">
        <v>2165</v>
      </c>
      <c r="Q16" s="3" t="s">
        <v>2166</v>
      </c>
      <c r="R16" s="3">
        <v>36</v>
      </c>
      <c r="S16" s="3" t="s">
        <v>2167</v>
      </c>
      <c r="T16" s="3">
        <v>0.8</v>
      </c>
      <c r="U16" s="3">
        <v>1</v>
      </c>
      <c r="V16" s="3">
        <v>270</v>
      </c>
      <c r="W16" s="3">
        <v>6</v>
      </c>
      <c r="X16" s="3">
        <v>8847</v>
      </c>
      <c r="Y16" s="3">
        <v>0.31850000000000001</v>
      </c>
      <c r="Z16" s="3">
        <v>0.2767</v>
      </c>
      <c r="AA16" s="3">
        <v>0.86860000000000004</v>
      </c>
      <c r="AB16" s="3" t="s">
        <v>113</v>
      </c>
      <c r="AC16" s="3" t="s">
        <v>4317</v>
      </c>
      <c r="AD16" s="3" t="s">
        <v>113</v>
      </c>
      <c r="AE16" s="3" t="s">
        <v>113</v>
      </c>
      <c r="AF16" s="3" t="s">
        <v>113</v>
      </c>
      <c r="AG16" s="3" t="s">
        <v>113</v>
      </c>
      <c r="AH16" s="3" t="s">
        <v>113</v>
      </c>
      <c r="AI16" s="3" t="s">
        <v>113</v>
      </c>
      <c r="AJ16" s="3">
        <v>955.87199999999996</v>
      </c>
      <c r="AK16" s="3" t="s">
        <v>4318</v>
      </c>
      <c r="AL16" s="3" t="s">
        <v>113</v>
      </c>
      <c r="AM16" s="3" t="s">
        <v>113</v>
      </c>
      <c r="AN16" s="3" t="s">
        <v>113</v>
      </c>
      <c r="AO16" s="3" t="s">
        <v>131</v>
      </c>
      <c r="AP16" s="3" t="s">
        <v>4319</v>
      </c>
      <c r="AQ16" s="3" t="s">
        <v>3838</v>
      </c>
      <c r="AR16" s="3" t="s">
        <v>3673</v>
      </c>
      <c r="AS16" s="3" t="s">
        <v>4320</v>
      </c>
      <c r="AT16" s="3" t="s">
        <v>4321</v>
      </c>
      <c r="AU16" s="3" t="s">
        <v>4032</v>
      </c>
      <c r="AV16" s="7">
        <v>0.20499999999999999</v>
      </c>
      <c r="AY16" s="3" t="s">
        <v>3390</v>
      </c>
      <c r="BA16" s="3" t="s">
        <v>4322</v>
      </c>
      <c r="BB16" s="3" t="s">
        <v>4323</v>
      </c>
      <c r="BC16" s="3" t="s">
        <v>4324</v>
      </c>
      <c r="BD16" s="3" t="s">
        <v>4325</v>
      </c>
      <c r="BE16" s="3" t="s">
        <v>3449</v>
      </c>
      <c r="BF16" s="3" t="s">
        <v>3566</v>
      </c>
      <c r="BG16" s="3" t="s">
        <v>3566</v>
      </c>
      <c r="BH16" s="3" t="s">
        <v>4324</v>
      </c>
      <c r="BI16" s="3" t="s">
        <v>3804</v>
      </c>
      <c r="BJ16" s="3" t="s">
        <v>4326</v>
      </c>
      <c r="BK16" s="3" t="s">
        <v>3430</v>
      </c>
      <c r="BL16" s="3" t="s">
        <v>3494</v>
      </c>
      <c r="BM16" s="3" t="s">
        <v>3729</v>
      </c>
      <c r="BN16" s="3" t="s">
        <v>3430</v>
      </c>
      <c r="BO16" s="3">
        <v>1.0500000000000001E-2</v>
      </c>
      <c r="BP16" s="3">
        <v>1.0500000000000001E-2</v>
      </c>
      <c r="BQ16" s="3">
        <v>1.0500000000000001E-2</v>
      </c>
      <c r="BR16" s="3">
        <v>168</v>
      </c>
      <c r="BS16" s="3">
        <v>180</v>
      </c>
      <c r="BT16" s="3">
        <v>25</v>
      </c>
      <c r="BU16" s="3">
        <v>418</v>
      </c>
      <c r="BV16" s="3">
        <v>349</v>
      </c>
      <c r="BW16" s="3">
        <v>599</v>
      </c>
      <c r="BX16" s="3">
        <v>1126</v>
      </c>
      <c r="BY16" s="3" t="s">
        <v>153</v>
      </c>
      <c r="BZ16" s="3" t="s">
        <v>153</v>
      </c>
      <c r="CA16" s="3">
        <v>0</v>
      </c>
      <c r="CB16" s="3" t="s">
        <v>2171</v>
      </c>
      <c r="CC16" s="3" t="s">
        <v>111</v>
      </c>
      <c r="CD16" s="3" t="s">
        <v>2171</v>
      </c>
      <c r="CE16" s="3" t="s">
        <v>111</v>
      </c>
      <c r="CF16" s="3">
        <v>5022</v>
      </c>
      <c r="CI16" s="3">
        <f t="shared" si="1"/>
        <v>0.26250000000000001</v>
      </c>
      <c r="CN16" s="3" t="s">
        <v>3390</v>
      </c>
      <c r="CO16" s="3" t="s">
        <v>4707</v>
      </c>
    </row>
    <row r="17" spans="1:93" x14ac:dyDescent="0.2">
      <c r="A17" s="3" t="s">
        <v>3391</v>
      </c>
      <c r="C17" s="5" t="s">
        <v>4727</v>
      </c>
      <c r="D17" s="5">
        <v>12</v>
      </c>
      <c r="E17" s="5" t="s">
        <v>4733</v>
      </c>
      <c r="G17" s="3" t="s">
        <v>4707</v>
      </c>
      <c r="H17" s="3">
        <v>17301</v>
      </c>
      <c r="I17" s="14">
        <v>44747.459027777775</v>
      </c>
      <c r="J17" s="14">
        <v>45156.626388888886</v>
      </c>
      <c r="K17" s="3" t="s">
        <v>2164</v>
      </c>
      <c r="L17" s="3" t="s">
        <v>111</v>
      </c>
      <c r="M17" s="3" t="s">
        <v>111</v>
      </c>
      <c r="N17" s="3" t="s">
        <v>111</v>
      </c>
      <c r="O17" s="3" t="s">
        <v>112</v>
      </c>
      <c r="P17" s="3" t="s">
        <v>2165</v>
      </c>
      <c r="Q17" s="3" t="s">
        <v>2166</v>
      </c>
      <c r="R17" s="3">
        <v>36</v>
      </c>
      <c r="S17" s="3" t="s">
        <v>2167</v>
      </c>
      <c r="T17" s="3">
        <v>0.8</v>
      </c>
      <c r="U17" s="3">
        <v>1</v>
      </c>
      <c r="V17" s="3">
        <v>270</v>
      </c>
      <c r="W17" s="3">
        <v>6</v>
      </c>
      <c r="X17" s="3">
        <v>8847</v>
      </c>
      <c r="Y17" s="3">
        <v>0.1076</v>
      </c>
      <c r="Z17" s="3">
        <v>8.5599999999999996E-2</v>
      </c>
      <c r="AA17" s="3">
        <v>0.79600000000000004</v>
      </c>
      <c r="AB17" s="3" t="s">
        <v>113</v>
      </c>
      <c r="AC17" s="3" t="s">
        <v>4327</v>
      </c>
      <c r="AD17" s="3" t="s">
        <v>113</v>
      </c>
      <c r="AE17" s="3" t="s">
        <v>113</v>
      </c>
      <c r="AF17" s="3" t="s">
        <v>113</v>
      </c>
      <c r="AG17" s="3" t="s">
        <v>113</v>
      </c>
      <c r="AH17" s="3" t="s">
        <v>113</v>
      </c>
      <c r="AI17" s="3" t="s">
        <v>113</v>
      </c>
      <c r="AJ17" s="3">
        <v>795.01559999999995</v>
      </c>
      <c r="AK17" s="3" t="s">
        <v>4328</v>
      </c>
      <c r="AL17" s="3" t="s">
        <v>113</v>
      </c>
      <c r="AM17" s="3" t="s">
        <v>113</v>
      </c>
      <c r="AN17" s="3" t="s">
        <v>113</v>
      </c>
      <c r="AO17" s="3" t="s">
        <v>131</v>
      </c>
      <c r="AP17" s="3" t="s">
        <v>3887</v>
      </c>
      <c r="AQ17" s="3" t="s">
        <v>3468</v>
      </c>
      <c r="AR17" s="3" t="s">
        <v>3588</v>
      </c>
      <c r="AS17" s="3" t="s">
        <v>4329</v>
      </c>
      <c r="AT17" s="3" t="s">
        <v>4330</v>
      </c>
      <c r="AU17" s="3" t="s">
        <v>4331</v>
      </c>
      <c r="AV17" s="7">
        <v>0.13200000000000001</v>
      </c>
      <c r="AY17" s="3" t="s">
        <v>3391</v>
      </c>
      <c r="BA17" s="3" t="s">
        <v>4046</v>
      </c>
      <c r="BB17" s="3" t="s">
        <v>4332</v>
      </c>
      <c r="BC17" s="3" t="s">
        <v>3900</v>
      </c>
      <c r="BD17" s="3" t="s">
        <v>4333</v>
      </c>
      <c r="BE17" s="3" t="s">
        <v>3980</v>
      </c>
      <c r="BF17" s="3" t="s">
        <v>3497</v>
      </c>
      <c r="BG17" s="3" t="s">
        <v>3566</v>
      </c>
      <c r="BH17" s="3" t="s">
        <v>3900</v>
      </c>
      <c r="BI17" s="3" t="s">
        <v>3922</v>
      </c>
      <c r="BJ17" s="3" t="s">
        <v>3698</v>
      </c>
      <c r="BK17" s="3" t="s">
        <v>3566</v>
      </c>
      <c r="BL17" s="3" t="s">
        <v>4250</v>
      </c>
      <c r="BM17" s="3" t="s">
        <v>3426</v>
      </c>
      <c r="BN17" s="3" t="s">
        <v>3451</v>
      </c>
      <c r="BO17" s="3">
        <v>1.0500000000000001E-2</v>
      </c>
      <c r="BP17" s="3">
        <v>1.0500000000000001E-2</v>
      </c>
      <c r="BQ17" s="3">
        <v>1.0500000000000001E-2</v>
      </c>
      <c r="BR17" s="3">
        <v>124</v>
      </c>
      <c r="BS17" s="3">
        <v>168</v>
      </c>
      <c r="BT17" s="3">
        <v>15</v>
      </c>
      <c r="BU17" s="3">
        <v>1015</v>
      </c>
      <c r="BV17" s="3">
        <v>275</v>
      </c>
      <c r="BW17" s="3">
        <v>852</v>
      </c>
      <c r="BX17" s="3">
        <v>1126</v>
      </c>
      <c r="BY17" s="3" t="s">
        <v>153</v>
      </c>
      <c r="BZ17" s="3" t="s">
        <v>153</v>
      </c>
      <c r="CA17" s="3">
        <v>0</v>
      </c>
      <c r="CB17" s="3" t="s">
        <v>2171</v>
      </c>
      <c r="CC17" s="3" t="s">
        <v>111</v>
      </c>
      <c r="CD17" s="3" t="s">
        <v>2171</v>
      </c>
      <c r="CE17" s="3" t="s">
        <v>111</v>
      </c>
      <c r="CF17" s="3">
        <v>5022</v>
      </c>
      <c r="CI17" s="3">
        <f t="shared" si="1"/>
        <v>0.1575</v>
      </c>
      <c r="CN17" s="3" t="s">
        <v>3391</v>
      </c>
      <c r="CO17" s="3" t="s">
        <v>4707</v>
      </c>
    </row>
    <row r="18" spans="1:93" x14ac:dyDescent="0.2">
      <c r="A18" s="3" t="s">
        <v>3392</v>
      </c>
      <c r="C18" s="5" t="s">
        <v>4726</v>
      </c>
      <c r="D18" s="5">
        <v>12</v>
      </c>
      <c r="E18" s="5" t="s">
        <v>4733</v>
      </c>
      <c r="G18" s="3" t="s">
        <v>4707</v>
      </c>
      <c r="H18" s="3">
        <v>17301</v>
      </c>
      <c r="I18" s="14">
        <v>44747.459027777775</v>
      </c>
      <c r="J18" s="14">
        <v>45156.628472222219</v>
      </c>
      <c r="K18" s="3" t="s">
        <v>2164</v>
      </c>
      <c r="L18" s="3" t="s">
        <v>111</v>
      </c>
      <c r="M18" s="3" t="s">
        <v>111</v>
      </c>
      <c r="N18" s="3" t="s">
        <v>111</v>
      </c>
      <c r="O18" s="3" t="s">
        <v>112</v>
      </c>
      <c r="P18" s="3" t="s">
        <v>2165</v>
      </c>
      <c r="Q18" s="3" t="s">
        <v>2166</v>
      </c>
      <c r="R18" s="3">
        <v>36</v>
      </c>
      <c r="S18" s="3" t="s">
        <v>2167</v>
      </c>
      <c r="T18" s="3">
        <v>0.8</v>
      </c>
      <c r="U18" s="3">
        <v>1</v>
      </c>
      <c r="V18" s="3">
        <v>270</v>
      </c>
      <c r="W18" s="3">
        <v>6</v>
      </c>
      <c r="X18" s="3">
        <v>8847</v>
      </c>
      <c r="Y18" s="3">
        <v>0.19869999999999999</v>
      </c>
      <c r="Z18" s="3">
        <v>0.16830000000000001</v>
      </c>
      <c r="AA18" s="3">
        <v>0.84730000000000005</v>
      </c>
      <c r="AB18" s="3" t="s">
        <v>113</v>
      </c>
      <c r="AC18" s="3" t="s">
        <v>4334</v>
      </c>
      <c r="AD18" s="3" t="s">
        <v>113</v>
      </c>
      <c r="AE18" s="3" t="s">
        <v>113</v>
      </c>
      <c r="AF18" s="3" t="s">
        <v>113</v>
      </c>
      <c r="AG18" s="3" t="s">
        <v>113</v>
      </c>
      <c r="AH18" s="3" t="s">
        <v>113</v>
      </c>
      <c r="AI18" s="3" t="s">
        <v>113</v>
      </c>
      <c r="AJ18" s="3">
        <v>905.49980000000005</v>
      </c>
      <c r="AK18" s="3" t="s">
        <v>4335</v>
      </c>
      <c r="AL18" s="3" t="s">
        <v>113</v>
      </c>
      <c r="AM18" s="3" t="s">
        <v>113</v>
      </c>
      <c r="AN18" s="3" t="s">
        <v>113</v>
      </c>
      <c r="AO18" s="3" t="s">
        <v>131</v>
      </c>
      <c r="AP18" s="3" t="s">
        <v>4336</v>
      </c>
      <c r="AQ18" s="3" t="s">
        <v>4337</v>
      </c>
      <c r="AR18" s="3" t="s">
        <v>4195</v>
      </c>
      <c r="AS18" s="3" t="s">
        <v>4338</v>
      </c>
      <c r="AT18" s="3" t="s">
        <v>4339</v>
      </c>
      <c r="AU18" s="3" t="s">
        <v>4340</v>
      </c>
      <c r="AV18" s="7">
        <v>0.155</v>
      </c>
      <c r="AY18" s="3" t="s">
        <v>3392</v>
      </c>
      <c r="BA18" s="3" t="s">
        <v>4341</v>
      </c>
      <c r="BB18" s="3" t="s">
        <v>4342</v>
      </c>
      <c r="BC18" s="3" t="s">
        <v>4343</v>
      </c>
      <c r="BD18" s="3" t="s">
        <v>4344</v>
      </c>
      <c r="BE18" s="3" t="s">
        <v>3452</v>
      </c>
      <c r="BF18" s="3" t="s">
        <v>3584</v>
      </c>
      <c r="BG18" s="3" t="s">
        <v>3429</v>
      </c>
      <c r="BH18" s="3" t="s">
        <v>4343</v>
      </c>
      <c r="BI18" s="3" t="s">
        <v>3593</v>
      </c>
      <c r="BJ18" s="3" t="s">
        <v>4345</v>
      </c>
      <c r="BK18" s="3" t="s">
        <v>3474</v>
      </c>
      <c r="BL18" s="3" t="s">
        <v>4346</v>
      </c>
      <c r="BM18" s="3" t="s">
        <v>3942</v>
      </c>
      <c r="BN18" s="3" t="s">
        <v>3554</v>
      </c>
      <c r="BO18" s="3">
        <v>1.0500000000000001E-2</v>
      </c>
      <c r="BP18" s="3">
        <v>1.0500000000000001E-2</v>
      </c>
      <c r="BQ18" s="3">
        <v>1.0500000000000001E-2</v>
      </c>
      <c r="BR18" s="3">
        <v>148</v>
      </c>
      <c r="BS18" s="3">
        <v>180</v>
      </c>
      <c r="BT18" s="3">
        <v>20</v>
      </c>
      <c r="BU18" s="3">
        <v>1279</v>
      </c>
      <c r="BV18" s="3">
        <v>488</v>
      </c>
      <c r="BW18" s="3">
        <v>548</v>
      </c>
      <c r="BX18" s="3">
        <v>1126</v>
      </c>
      <c r="BY18" s="3" t="s">
        <v>153</v>
      </c>
      <c r="BZ18" s="3" t="s">
        <v>153</v>
      </c>
      <c r="CA18" s="3">
        <v>0</v>
      </c>
      <c r="CB18" s="3" t="s">
        <v>2171</v>
      </c>
      <c r="CC18" s="3" t="s">
        <v>111</v>
      </c>
      <c r="CD18" s="3" t="s">
        <v>2171</v>
      </c>
      <c r="CE18" s="3" t="s">
        <v>111</v>
      </c>
      <c r="CF18" s="3">
        <v>5022</v>
      </c>
      <c r="CI18" s="3">
        <f t="shared" si="1"/>
        <v>0.21000000000000002</v>
      </c>
      <c r="CN18" s="3" t="s">
        <v>3392</v>
      </c>
      <c r="CO18" s="3" t="s">
        <v>4707</v>
      </c>
    </row>
    <row r="19" spans="1:93" x14ac:dyDescent="0.2">
      <c r="A19" s="3" t="s">
        <v>3393</v>
      </c>
      <c r="C19" s="5" t="s">
        <v>4726</v>
      </c>
      <c r="D19" s="5">
        <v>12</v>
      </c>
      <c r="E19" s="5" t="s">
        <v>4733</v>
      </c>
      <c r="G19" s="3" t="s">
        <v>4707</v>
      </c>
      <c r="H19" s="3">
        <v>17301</v>
      </c>
      <c r="I19" s="14">
        <v>44747.459027777775</v>
      </c>
      <c r="J19" s="14">
        <v>45156.629861111112</v>
      </c>
      <c r="K19" s="3" t="s">
        <v>2164</v>
      </c>
      <c r="L19" s="3" t="s">
        <v>111</v>
      </c>
      <c r="M19" s="3" t="s">
        <v>111</v>
      </c>
      <c r="N19" s="3" t="s">
        <v>111</v>
      </c>
      <c r="O19" s="3" t="s">
        <v>112</v>
      </c>
      <c r="P19" s="3" t="s">
        <v>2165</v>
      </c>
      <c r="Q19" s="3" t="s">
        <v>2166</v>
      </c>
      <c r="R19" s="3">
        <v>36</v>
      </c>
      <c r="S19" s="3" t="s">
        <v>2167</v>
      </c>
      <c r="T19" s="3">
        <v>0.8</v>
      </c>
      <c r="U19" s="3">
        <v>1</v>
      </c>
      <c r="V19" s="3">
        <v>270</v>
      </c>
      <c r="W19" s="3">
        <v>6</v>
      </c>
      <c r="X19" s="3">
        <v>8847</v>
      </c>
      <c r="Y19" s="3">
        <v>9.1399999999999995E-2</v>
      </c>
      <c r="Z19" s="3">
        <v>7.17E-2</v>
      </c>
      <c r="AA19" s="3">
        <v>0.78400000000000003</v>
      </c>
      <c r="AB19" s="3" t="s">
        <v>113</v>
      </c>
      <c r="AC19" s="3" t="s">
        <v>4347</v>
      </c>
      <c r="AD19" s="3" t="s">
        <v>113</v>
      </c>
      <c r="AE19" s="3" t="s">
        <v>113</v>
      </c>
      <c r="AF19" s="3" t="s">
        <v>113</v>
      </c>
      <c r="AG19" s="3" t="s">
        <v>113</v>
      </c>
      <c r="AH19" s="3" t="s">
        <v>113</v>
      </c>
      <c r="AI19" s="3" t="s">
        <v>113</v>
      </c>
      <c r="AJ19" s="3">
        <v>799.3768</v>
      </c>
      <c r="AK19" s="3" t="s">
        <v>2174</v>
      </c>
      <c r="AL19" s="3" t="s">
        <v>113</v>
      </c>
      <c r="AM19" s="3" t="s">
        <v>113</v>
      </c>
      <c r="AN19" s="3" t="s">
        <v>113</v>
      </c>
      <c r="AO19" s="3" t="s">
        <v>131</v>
      </c>
      <c r="AP19" s="3" t="s">
        <v>3666</v>
      </c>
      <c r="AQ19" s="3" t="s">
        <v>3599</v>
      </c>
      <c r="AR19" s="3" t="s">
        <v>4072</v>
      </c>
      <c r="AS19" s="3" t="s">
        <v>4348</v>
      </c>
      <c r="AT19" s="3" t="s">
        <v>4349</v>
      </c>
      <c r="AU19" s="3" t="s">
        <v>4350</v>
      </c>
      <c r="AV19" s="7">
        <v>0.121</v>
      </c>
      <c r="AY19" s="3" t="s">
        <v>3393</v>
      </c>
      <c r="BA19" s="3" t="s">
        <v>3875</v>
      </c>
      <c r="BB19" s="3" t="s">
        <v>4351</v>
      </c>
      <c r="BC19" s="3" t="s">
        <v>3889</v>
      </c>
      <c r="BD19" s="3" t="s">
        <v>3490</v>
      </c>
      <c r="BE19" s="3" t="s">
        <v>4176</v>
      </c>
      <c r="BF19" s="3" t="s">
        <v>3429</v>
      </c>
      <c r="BG19" s="3" t="s">
        <v>3429</v>
      </c>
      <c r="BH19" s="3" t="s">
        <v>3889</v>
      </c>
      <c r="BI19" s="3" t="s">
        <v>4352</v>
      </c>
      <c r="BJ19" s="3" t="s">
        <v>3440</v>
      </c>
      <c r="BK19" s="3" t="s">
        <v>3430</v>
      </c>
      <c r="BL19" s="3" t="s">
        <v>4353</v>
      </c>
      <c r="BM19" s="3" t="s">
        <v>3894</v>
      </c>
      <c r="BN19" s="3" t="s">
        <v>3430</v>
      </c>
      <c r="BO19" s="3">
        <v>1.0500000000000001E-2</v>
      </c>
      <c r="BP19" s="3">
        <v>1.0500000000000001E-2</v>
      </c>
      <c r="BQ19" s="3">
        <v>1.0500000000000001E-2</v>
      </c>
      <c r="BR19" s="3">
        <v>132</v>
      </c>
      <c r="BS19" s="3">
        <v>124</v>
      </c>
      <c r="BT19" s="3">
        <v>13</v>
      </c>
      <c r="BU19" s="3">
        <v>1494</v>
      </c>
      <c r="BV19" s="3">
        <v>1277</v>
      </c>
      <c r="BW19" s="3">
        <v>502</v>
      </c>
      <c r="BX19" s="3">
        <v>1126</v>
      </c>
      <c r="BY19" s="3" t="s">
        <v>153</v>
      </c>
      <c r="BZ19" s="3" t="s">
        <v>153</v>
      </c>
      <c r="CA19" s="3">
        <v>0</v>
      </c>
      <c r="CB19" s="3" t="s">
        <v>2171</v>
      </c>
      <c r="CC19" s="3" t="s">
        <v>111</v>
      </c>
      <c r="CD19" s="3" t="s">
        <v>2171</v>
      </c>
      <c r="CE19" s="3" t="s">
        <v>111</v>
      </c>
      <c r="CF19" s="3">
        <v>5022</v>
      </c>
      <c r="CI19" s="3">
        <f t="shared" si="1"/>
        <v>0.13650000000000001</v>
      </c>
      <c r="CN19" s="3" t="s">
        <v>3393</v>
      </c>
      <c r="CO19" s="3" t="s">
        <v>4707</v>
      </c>
    </row>
    <row r="20" spans="1:93" x14ac:dyDescent="0.2">
      <c r="A20" s="3" t="s">
        <v>3394</v>
      </c>
      <c r="C20" s="5" t="s">
        <v>4726</v>
      </c>
      <c r="D20" s="5">
        <v>12</v>
      </c>
      <c r="E20" s="5" t="s">
        <v>4733</v>
      </c>
      <c r="G20" s="3" t="s">
        <v>4707</v>
      </c>
      <c r="H20" s="3">
        <v>17301</v>
      </c>
      <c r="I20" s="14">
        <v>44747.459027777775</v>
      </c>
      <c r="J20" s="14">
        <v>45156.631249999999</v>
      </c>
      <c r="K20" s="3" t="s">
        <v>2164</v>
      </c>
      <c r="L20" s="3" t="s">
        <v>111</v>
      </c>
      <c r="M20" s="3" t="s">
        <v>111</v>
      </c>
      <c r="N20" s="3" t="s">
        <v>111</v>
      </c>
      <c r="O20" s="3" t="s">
        <v>112</v>
      </c>
      <c r="P20" s="3" t="s">
        <v>2165</v>
      </c>
      <c r="Q20" s="3" t="s">
        <v>2166</v>
      </c>
      <c r="R20" s="3">
        <v>36</v>
      </c>
      <c r="S20" s="3" t="s">
        <v>2167</v>
      </c>
      <c r="T20" s="3">
        <v>0.8</v>
      </c>
      <c r="U20" s="3">
        <v>1</v>
      </c>
      <c r="V20" s="3">
        <v>270</v>
      </c>
      <c r="W20" s="3">
        <v>6</v>
      </c>
      <c r="X20" s="3">
        <v>8847</v>
      </c>
      <c r="Y20" s="3">
        <v>0.1522</v>
      </c>
      <c r="Z20" s="3">
        <v>0.1207</v>
      </c>
      <c r="AA20" s="3">
        <v>0.79310000000000003</v>
      </c>
      <c r="AB20" s="3" t="s">
        <v>113</v>
      </c>
      <c r="AC20" s="3" t="s">
        <v>4354</v>
      </c>
      <c r="AD20" s="3" t="s">
        <v>113</v>
      </c>
      <c r="AE20" s="3" t="s">
        <v>113</v>
      </c>
      <c r="AF20" s="3" t="s">
        <v>113</v>
      </c>
      <c r="AG20" s="3" t="s">
        <v>113</v>
      </c>
      <c r="AH20" s="3" t="s">
        <v>113</v>
      </c>
      <c r="AI20" s="3" t="s">
        <v>113</v>
      </c>
      <c r="AJ20" s="3">
        <v>823.00009999999997</v>
      </c>
      <c r="AK20" s="3" t="s">
        <v>4355</v>
      </c>
      <c r="AL20" s="3" t="s">
        <v>113</v>
      </c>
      <c r="AM20" s="3" t="s">
        <v>113</v>
      </c>
      <c r="AN20" s="3" t="s">
        <v>113</v>
      </c>
      <c r="AO20" s="3" t="s">
        <v>131</v>
      </c>
      <c r="AP20" s="3" t="s">
        <v>3848</v>
      </c>
      <c r="AQ20" s="3" t="s">
        <v>3935</v>
      </c>
      <c r="AR20" s="3" t="s">
        <v>3748</v>
      </c>
      <c r="AS20" s="3" t="s">
        <v>4356</v>
      </c>
      <c r="AT20" s="3" t="s">
        <v>4357</v>
      </c>
      <c r="AU20" s="3" t="s">
        <v>4358</v>
      </c>
      <c r="AV20" s="7">
        <v>0.16500000000000001</v>
      </c>
      <c r="AY20" s="3" t="s">
        <v>3394</v>
      </c>
      <c r="BA20" s="3" t="s">
        <v>3469</v>
      </c>
      <c r="BB20" s="3" t="s">
        <v>4360</v>
      </c>
      <c r="BC20" s="3" t="s">
        <v>3502</v>
      </c>
      <c r="BD20" s="3" t="s">
        <v>4361</v>
      </c>
      <c r="BE20" s="3" t="s">
        <v>3428</v>
      </c>
      <c r="BF20" s="3" t="s">
        <v>3433</v>
      </c>
      <c r="BG20" s="3" t="s">
        <v>3515</v>
      </c>
      <c r="BH20" s="3" t="s">
        <v>3502</v>
      </c>
      <c r="BI20" s="3" t="s">
        <v>4362</v>
      </c>
      <c r="BJ20" s="3" t="s">
        <v>4363</v>
      </c>
      <c r="BK20" s="3" t="s">
        <v>3571</v>
      </c>
      <c r="BL20" s="3" t="s">
        <v>4025</v>
      </c>
      <c r="BM20" s="3" t="s">
        <v>4154</v>
      </c>
      <c r="BN20" s="3" t="s">
        <v>3471</v>
      </c>
      <c r="BO20" s="3">
        <v>1.0500000000000001E-2</v>
      </c>
      <c r="BP20" s="3">
        <v>1.0500000000000001E-2</v>
      </c>
      <c r="BQ20" s="3">
        <v>1.0500000000000001E-2</v>
      </c>
      <c r="BR20" s="3">
        <v>156</v>
      </c>
      <c r="BS20" s="3">
        <v>128</v>
      </c>
      <c r="BT20" s="3">
        <v>16</v>
      </c>
      <c r="BU20" s="3">
        <v>1182</v>
      </c>
      <c r="BV20" s="3">
        <v>1603</v>
      </c>
      <c r="BW20" s="3">
        <v>469</v>
      </c>
      <c r="BX20" s="3">
        <v>1126</v>
      </c>
      <c r="BY20" s="3" t="s">
        <v>153</v>
      </c>
      <c r="BZ20" s="3" t="s">
        <v>153</v>
      </c>
      <c r="CA20" s="3">
        <v>0</v>
      </c>
      <c r="CB20" s="3" t="s">
        <v>2171</v>
      </c>
      <c r="CC20" s="3" t="s">
        <v>111</v>
      </c>
      <c r="CD20" s="3" t="s">
        <v>2171</v>
      </c>
      <c r="CE20" s="3" t="s">
        <v>111</v>
      </c>
      <c r="CF20" s="3">
        <v>5022</v>
      </c>
      <c r="CI20" s="3">
        <f t="shared" si="1"/>
        <v>0.16800000000000001</v>
      </c>
      <c r="CN20" s="3" t="s">
        <v>3394</v>
      </c>
      <c r="CO20" s="3" t="s">
        <v>4707</v>
      </c>
    </row>
    <row r="23" spans="1:93" ht="16" x14ac:dyDescent="0.2">
      <c r="A23" s="3" t="s">
        <v>3355</v>
      </c>
      <c r="C23" s="4"/>
      <c r="D23" s="4"/>
      <c r="G23" s="3" t="s">
        <v>4707</v>
      </c>
      <c r="H23" s="3">
        <v>18033</v>
      </c>
      <c r="I23" s="14">
        <v>45155.804861111108</v>
      </c>
      <c r="J23" s="14">
        <v>45161.836805555555</v>
      </c>
      <c r="K23" s="3" t="s">
        <v>110</v>
      </c>
      <c r="L23" s="3" t="s">
        <v>111</v>
      </c>
      <c r="M23" s="3" t="s">
        <v>111</v>
      </c>
      <c r="N23" s="3" t="s">
        <v>111</v>
      </c>
      <c r="O23" s="3" t="s">
        <v>112</v>
      </c>
      <c r="P23" s="3" t="s">
        <v>113</v>
      </c>
      <c r="Q23" s="3" t="s">
        <v>113</v>
      </c>
      <c r="R23" s="3">
        <v>0</v>
      </c>
      <c r="S23" s="3" t="s">
        <v>113</v>
      </c>
      <c r="T23" s="3">
        <v>0.8</v>
      </c>
      <c r="U23" s="3">
        <v>1</v>
      </c>
      <c r="V23" s="3">
        <v>270</v>
      </c>
      <c r="W23" s="3">
        <v>6</v>
      </c>
      <c r="X23" s="3">
        <v>8847</v>
      </c>
      <c r="Y23" s="3">
        <v>0.17829999999999999</v>
      </c>
      <c r="Z23" s="3">
        <v>0.1532</v>
      </c>
      <c r="AA23" s="3">
        <v>0.85940000000000005</v>
      </c>
      <c r="AB23" s="3" t="s">
        <v>113</v>
      </c>
      <c r="AC23" s="3" t="s">
        <v>3415</v>
      </c>
      <c r="AD23" s="3" t="s">
        <v>113</v>
      </c>
      <c r="AE23" s="3" t="s">
        <v>113</v>
      </c>
      <c r="AF23" s="3" t="s">
        <v>113</v>
      </c>
      <c r="AG23" s="3" t="s">
        <v>113</v>
      </c>
      <c r="AH23" s="3" t="s">
        <v>113</v>
      </c>
      <c r="AI23" s="3" t="s">
        <v>113</v>
      </c>
      <c r="AJ23" s="3">
        <v>864.14089999999999</v>
      </c>
      <c r="AK23" s="3" t="s">
        <v>3416</v>
      </c>
      <c r="AL23" s="3" t="s">
        <v>113</v>
      </c>
      <c r="AM23" s="3" t="s">
        <v>113</v>
      </c>
      <c r="AN23" s="3" t="s">
        <v>113</v>
      </c>
      <c r="AO23" s="3" t="s">
        <v>131</v>
      </c>
      <c r="AP23" s="3" t="s">
        <v>3417</v>
      </c>
      <c r="AQ23" s="3" t="s">
        <v>3418</v>
      </c>
      <c r="AR23" s="3" t="s">
        <v>3419</v>
      </c>
      <c r="AS23" s="3" t="s">
        <v>3420</v>
      </c>
      <c r="AT23" s="3" t="s">
        <v>3421</v>
      </c>
      <c r="AU23" s="3" t="s">
        <v>3422</v>
      </c>
      <c r="AV23" s="7">
        <v>0.14699999999999999</v>
      </c>
      <c r="AW23" s="11"/>
      <c r="AX23" s="11"/>
      <c r="AY23" s="3" t="s">
        <v>3355</v>
      </c>
      <c r="BA23" s="3" t="s">
        <v>3424</v>
      </c>
      <c r="BB23" s="3" t="s">
        <v>3425</v>
      </c>
      <c r="BC23" s="3" t="s">
        <v>3426</v>
      </c>
      <c r="BD23" s="3" t="s">
        <v>3427</v>
      </c>
      <c r="BE23" s="3" t="s">
        <v>3428</v>
      </c>
      <c r="BF23" s="3" t="s">
        <v>3429</v>
      </c>
      <c r="BG23" s="3" t="s">
        <v>3430</v>
      </c>
      <c r="BH23" s="3" t="s">
        <v>3426</v>
      </c>
      <c r="BI23" s="3" t="s">
        <v>3431</v>
      </c>
      <c r="BJ23" s="3" t="s">
        <v>3432</v>
      </c>
      <c r="BK23" s="3" t="s">
        <v>3433</v>
      </c>
      <c r="BL23" s="3" t="s">
        <v>3434</v>
      </c>
      <c r="BM23" s="3" t="s">
        <v>3435</v>
      </c>
      <c r="BN23" s="3" t="s">
        <v>3436</v>
      </c>
      <c r="BO23" s="3">
        <v>1.0500000000000001E-2</v>
      </c>
      <c r="BP23" s="3">
        <v>1.0500000000000001E-2</v>
      </c>
      <c r="BQ23" s="3">
        <v>1.0500000000000001E-2</v>
      </c>
      <c r="BR23" s="3">
        <v>200</v>
      </c>
      <c r="BS23" s="3">
        <v>152</v>
      </c>
      <c r="BT23" s="3">
        <v>18</v>
      </c>
      <c r="BU23" s="3">
        <v>189</v>
      </c>
      <c r="BV23" s="3">
        <v>762</v>
      </c>
      <c r="BW23" s="3">
        <v>680</v>
      </c>
      <c r="BX23" s="3">
        <v>1126</v>
      </c>
      <c r="BY23" s="3" t="s">
        <v>111</v>
      </c>
      <c r="BZ23" s="3" t="s">
        <v>153</v>
      </c>
      <c r="CA23" s="3">
        <v>0</v>
      </c>
      <c r="CB23" s="3" t="s">
        <v>111</v>
      </c>
      <c r="CC23" s="3" t="s">
        <v>111</v>
      </c>
      <c r="CD23" s="3" t="s">
        <v>154</v>
      </c>
      <c r="CE23" s="3" t="s">
        <v>111</v>
      </c>
      <c r="CF23" s="3">
        <v>5022</v>
      </c>
      <c r="CI23" s="3">
        <f>BQ23*BT23</f>
        <v>0.189</v>
      </c>
      <c r="CN23" s="3" t="s">
        <v>3355</v>
      </c>
      <c r="CO23" s="3" t="s">
        <v>4707</v>
      </c>
    </row>
    <row r="24" spans="1:93" ht="16" x14ac:dyDescent="0.2">
      <c r="A24" s="3" t="s">
        <v>3356</v>
      </c>
      <c r="C24" s="4" t="s">
        <v>4726</v>
      </c>
      <c r="D24" s="4">
        <v>12</v>
      </c>
      <c r="E24" s="5" t="s">
        <v>4734</v>
      </c>
      <c r="G24" s="3" t="s">
        <v>4707</v>
      </c>
      <c r="H24" s="3">
        <v>18034</v>
      </c>
      <c r="I24" s="14">
        <v>45155.808333333334</v>
      </c>
      <c r="J24" s="14">
        <v>45161.845833333333</v>
      </c>
      <c r="K24" s="3" t="s">
        <v>187</v>
      </c>
      <c r="L24" s="3" t="s">
        <v>111</v>
      </c>
      <c r="M24" s="3" t="s">
        <v>111</v>
      </c>
      <c r="N24" s="3" t="s">
        <v>111</v>
      </c>
      <c r="O24" s="3" t="s">
        <v>112</v>
      </c>
      <c r="P24" s="3" t="s">
        <v>113</v>
      </c>
      <c r="Q24" s="3" t="s">
        <v>113</v>
      </c>
      <c r="R24" s="3">
        <v>0</v>
      </c>
      <c r="S24" s="3" t="s">
        <v>113</v>
      </c>
      <c r="T24" s="3">
        <v>0.8</v>
      </c>
      <c r="U24" s="3">
        <v>1</v>
      </c>
      <c r="V24" s="3">
        <v>270</v>
      </c>
      <c r="W24" s="3">
        <v>6</v>
      </c>
      <c r="X24" s="3">
        <v>8847</v>
      </c>
      <c r="Y24" s="3">
        <v>8.6699999999999999E-2</v>
      </c>
      <c r="Z24" s="3">
        <v>8.0100000000000005E-2</v>
      </c>
      <c r="AA24" s="3">
        <v>0.92410000000000003</v>
      </c>
      <c r="AB24" s="3" t="s">
        <v>113</v>
      </c>
      <c r="AC24" s="3" t="s">
        <v>3457</v>
      </c>
      <c r="AD24" s="3" t="s">
        <v>113</v>
      </c>
      <c r="AE24" s="3" t="s">
        <v>113</v>
      </c>
      <c r="AF24" s="3" t="s">
        <v>113</v>
      </c>
      <c r="AG24" s="3" t="s">
        <v>113</v>
      </c>
      <c r="AH24" s="3" t="s">
        <v>113</v>
      </c>
      <c r="AI24" s="3" t="s">
        <v>113</v>
      </c>
      <c r="AJ24" s="3">
        <v>948.67600000000004</v>
      </c>
      <c r="AK24" s="3" t="s">
        <v>3458</v>
      </c>
      <c r="AL24" s="3" t="s">
        <v>113</v>
      </c>
      <c r="AM24" s="3" t="s">
        <v>113</v>
      </c>
      <c r="AN24" s="3" t="s">
        <v>113</v>
      </c>
      <c r="AO24" s="3" t="s">
        <v>131</v>
      </c>
      <c r="AP24" s="3" t="s">
        <v>3459</v>
      </c>
      <c r="AQ24" s="3" t="s">
        <v>3460</v>
      </c>
      <c r="AR24" s="3" t="s">
        <v>3461</v>
      </c>
      <c r="AS24" s="3" t="s">
        <v>3462</v>
      </c>
      <c r="AT24" s="3" t="s">
        <v>3463</v>
      </c>
      <c r="AU24" s="3" t="s">
        <v>3464</v>
      </c>
      <c r="AV24" s="7">
        <v>0.13</v>
      </c>
      <c r="AW24" s="11"/>
      <c r="AX24" s="11"/>
      <c r="AY24" s="3" t="s">
        <v>3356</v>
      </c>
      <c r="BA24" s="3" t="s">
        <v>3466</v>
      </c>
      <c r="BB24" s="3" t="s">
        <v>3467</v>
      </c>
      <c r="BC24" s="3" t="s">
        <v>3468</v>
      </c>
      <c r="BD24" s="3" t="s">
        <v>3469</v>
      </c>
      <c r="BE24" s="3" t="s">
        <v>3470</v>
      </c>
      <c r="BF24" s="3" t="s">
        <v>3471</v>
      </c>
      <c r="BG24" s="3" t="s">
        <v>3433</v>
      </c>
      <c r="BH24" s="3" t="s">
        <v>3468</v>
      </c>
      <c r="BI24" s="3" t="s">
        <v>3472</v>
      </c>
      <c r="BJ24" s="3" t="s">
        <v>3473</v>
      </c>
      <c r="BK24" s="3" t="s">
        <v>3474</v>
      </c>
      <c r="BL24" s="3" t="s">
        <v>3475</v>
      </c>
      <c r="BM24" s="3" t="s">
        <v>3476</v>
      </c>
      <c r="BN24" s="3" t="s">
        <v>3477</v>
      </c>
      <c r="BO24" s="3">
        <v>1.0500000000000001E-2</v>
      </c>
      <c r="BP24" s="3">
        <v>1.0500000000000001E-2</v>
      </c>
      <c r="BQ24" s="3">
        <v>1.0500000000000001E-2</v>
      </c>
      <c r="BR24" s="3">
        <v>124</v>
      </c>
      <c r="BS24" s="3">
        <v>152</v>
      </c>
      <c r="BT24" s="3">
        <v>12</v>
      </c>
      <c r="BU24" s="3">
        <v>607</v>
      </c>
      <c r="BV24" s="3">
        <v>451</v>
      </c>
      <c r="BW24" s="3">
        <v>590</v>
      </c>
      <c r="BX24" s="3">
        <v>1050</v>
      </c>
      <c r="BY24" s="3" t="s">
        <v>111</v>
      </c>
      <c r="BZ24" s="3" t="s">
        <v>153</v>
      </c>
      <c r="CA24" s="3">
        <v>0</v>
      </c>
      <c r="CB24" s="3" t="s">
        <v>111</v>
      </c>
      <c r="CC24" s="3" t="s">
        <v>111</v>
      </c>
      <c r="CD24" s="3" t="s">
        <v>219</v>
      </c>
      <c r="CE24" s="3" t="s">
        <v>111</v>
      </c>
      <c r="CF24" s="3">
        <v>5022</v>
      </c>
      <c r="CI24" s="3">
        <f>BQ24*BT24</f>
        <v>0.126</v>
      </c>
      <c r="CN24" s="3" t="s">
        <v>3356</v>
      </c>
      <c r="CO24" s="3" t="s">
        <v>4707</v>
      </c>
    </row>
    <row r="25" spans="1:93" ht="16" x14ac:dyDescent="0.2">
      <c r="A25" s="3" t="s">
        <v>3357</v>
      </c>
      <c r="C25" s="5" t="s">
        <v>4726</v>
      </c>
      <c r="D25" s="4">
        <v>12</v>
      </c>
      <c r="E25" s="5" t="s">
        <v>4734</v>
      </c>
      <c r="G25" s="3" t="s">
        <v>4707</v>
      </c>
      <c r="H25" s="3">
        <v>18035</v>
      </c>
      <c r="I25" s="14">
        <v>45155.810416666667</v>
      </c>
      <c r="J25" s="14">
        <v>45167.506944444445</v>
      </c>
      <c r="K25" s="3" t="s">
        <v>253</v>
      </c>
      <c r="L25" s="3" t="s">
        <v>111</v>
      </c>
      <c r="M25" s="3" t="s">
        <v>111</v>
      </c>
      <c r="N25" s="3" t="s">
        <v>111</v>
      </c>
      <c r="O25" s="3" t="s">
        <v>112</v>
      </c>
      <c r="P25" s="3" t="s">
        <v>113</v>
      </c>
      <c r="Q25" s="3" t="s">
        <v>113</v>
      </c>
      <c r="R25" s="3">
        <v>0</v>
      </c>
      <c r="S25" s="3" t="s">
        <v>113</v>
      </c>
      <c r="T25" s="3">
        <v>0.8</v>
      </c>
      <c r="U25" s="3">
        <v>1</v>
      </c>
      <c r="V25" s="3">
        <v>270</v>
      </c>
      <c r="W25" s="3">
        <v>6</v>
      </c>
      <c r="X25" s="3">
        <v>8847</v>
      </c>
      <c r="Y25" s="3">
        <v>0.18010000000000001</v>
      </c>
      <c r="Z25" s="3">
        <v>0.1331</v>
      </c>
      <c r="AA25" s="3">
        <v>0.7389</v>
      </c>
      <c r="AB25" s="3" t="s">
        <v>113</v>
      </c>
      <c r="AC25" s="3" t="s">
        <v>3499</v>
      </c>
      <c r="AD25" s="3" t="s">
        <v>113</v>
      </c>
      <c r="AE25" s="3" t="s">
        <v>113</v>
      </c>
      <c r="AF25" s="3" t="s">
        <v>113</v>
      </c>
      <c r="AG25" s="3" t="s">
        <v>113</v>
      </c>
      <c r="AH25" s="3" t="s">
        <v>113</v>
      </c>
      <c r="AI25" s="3" t="s">
        <v>113</v>
      </c>
      <c r="AJ25" s="3">
        <v>752.2029</v>
      </c>
      <c r="AK25" s="3" t="s">
        <v>3500</v>
      </c>
      <c r="AL25" s="3" t="s">
        <v>113</v>
      </c>
      <c r="AM25" s="3" t="s">
        <v>113</v>
      </c>
      <c r="AN25" s="3" t="s">
        <v>113</v>
      </c>
      <c r="AO25" s="3" t="s">
        <v>131</v>
      </c>
      <c r="AP25" s="3" t="s">
        <v>3501</v>
      </c>
      <c r="AQ25" s="3" t="s">
        <v>3502</v>
      </c>
      <c r="AR25" s="3" t="s">
        <v>3503</v>
      </c>
      <c r="AS25" s="3" t="s">
        <v>3504</v>
      </c>
      <c r="AT25" s="3" t="s">
        <v>3505</v>
      </c>
      <c r="AU25" s="3" t="s">
        <v>3506</v>
      </c>
      <c r="AV25" s="7">
        <v>0.129</v>
      </c>
      <c r="AW25" s="11"/>
      <c r="AX25" s="11"/>
      <c r="AY25" s="3" t="s">
        <v>3357</v>
      </c>
      <c r="BA25" s="3" t="s">
        <v>3508</v>
      </c>
      <c r="BB25" s="3" t="s">
        <v>3509</v>
      </c>
      <c r="BC25" s="3" t="s">
        <v>3510</v>
      </c>
      <c r="BD25" s="3" t="s">
        <v>3511</v>
      </c>
      <c r="BE25" s="3" t="s">
        <v>3512</v>
      </c>
      <c r="BF25" s="3" t="s">
        <v>3471</v>
      </c>
      <c r="BG25" s="3" t="s">
        <v>3429</v>
      </c>
      <c r="BH25" s="3" t="s">
        <v>3510</v>
      </c>
      <c r="BI25" s="3" t="s">
        <v>3513</v>
      </c>
      <c r="BJ25" s="3" t="s">
        <v>3514</v>
      </c>
      <c r="BK25" s="3" t="s">
        <v>3515</v>
      </c>
      <c r="BL25" s="3" t="s">
        <v>3516</v>
      </c>
      <c r="BM25" s="3" t="s">
        <v>3517</v>
      </c>
      <c r="BN25" s="3" t="s">
        <v>3477</v>
      </c>
      <c r="BO25" s="3">
        <v>1.0500000000000001E-2</v>
      </c>
      <c r="BP25" s="3">
        <v>1.0500000000000001E-2</v>
      </c>
      <c r="BQ25" s="3">
        <v>1.0500000000000001E-2</v>
      </c>
      <c r="BR25" s="3">
        <v>148</v>
      </c>
      <c r="BS25" s="3">
        <v>180</v>
      </c>
      <c r="BT25" s="3">
        <v>14</v>
      </c>
      <c r="BU25" s="3">
        <v>1008</v>
      </c>
      <c r="BV25" s="3">
        <v>368</v>
      </c>
      <c r="BW25" s="3">
        <v>696</v>
      </c>
      <c r="BX25" s="3">
        <v>1126</v>
      </c>
      <c r="BY25" s="3" t="s">
        <v>111</v>
      </c>
      <c r="BZ25" s="3" t="s">
        <v>153</v>
      </c>
      <c r="CA25" s="3">
        <v>0</v>
      </c>
      <c r="CB25" s="3" t="s">
        <v>111</v>
      </c>
      <c r="CC25" s="3" t="s">
        <v>111</v>
      </c>
      <c r="CD25" s="3" t="s">
        <v>286</v>
      </c>
      <c r="CE25" s="3" t="s">
        <v>111</v>
      </c>
      <c r="CF25" s="3">
        <v>5022</v>
      </c>
      <c r="CI25" s="3">
        <f t="shared" ref="CI25:CI29" si="2">BQ25*BT25</f>
        <v>0.14700000000000002</v>
      </c>
      <c r="CN25" s="3" t="s">
        <v>3357</v>
      </c>
      <c r="CO25" s="3" t="s">
        <v>4707</v>
      </c>
    </row>
    <row r="26" spans="1:93" ht="16" x14ac:dyDescent="0.2">
      <c r="A26" s="3" t="s">
        <v>3358</v>
      </c>
      <c r="C26" s="4" t="s">
        <v>4726</v>
      </c>
      <c r="D26" s="4">
        <v>12</v>
      </c>
      <c r="E26" s="5" t="s">
        <v>4734</v>
      </c>
      <c r="G26" s="3" t="s">
        <v>4707</v>
      </c>
      <c r="H26" s="3">
        <v>18036</v>
      </c>
      <c r="I26" s="14">
        <v>45155.825694444444</v>
      </c>
      <c r="J26" s="14">
        <v>45167.563194444447</v>
      </c>
      <c r="K26" s="3" t="s">
        <v>318</v>
      </c>
      <c r="L26" s="3" t="s">
        <v>111</v>
      </c>
      <c r="M26" s="3" t="s">
        <v>111</v>
      </c>
      <c r="N26" s="3" t="s">
        <v>111</v>
      </c>
      <c r="O26" s="3" t="s">
        <v>112</v>
      </c>
      <c r="P26" s="3" t="s">
        <v>113</v>
      </c>
      <c r="Q26" s="3" t="s">
        <v>113</v>
      </c>
      <c r="R26" s="3">
        <v>0</v>
      </c>
      <c r="S26" s="3" t="s">
        <v>113</v>
      </c>
      <c r="T26" s="3">
        <v>0.8</v>
      </c>
      <c r="U26" s="3">
        <v>1</v>
      </c>
      <c r="V26" s="3">
        <v>270</v>
      </c>
      <c r="W26" s="3">
        <v>6</v>
      </c>
      <c r="X26" s="3">
        <v>8847</v>
      </c>
      <c r="Y26" s="3">
        <v>0.125</v>
      </c>
      <c r="Z26" s="3">
        <v>0.10489999999999999</v>
      </c>
      <c r="AA26" s="3">
        <v>0.83930000000000005</v>
      </c>
      <c r="AB26" s="3" t="s">
        <v>113</v>
      </c>
      <c r="AC26" s="3" t="s">
        <v>3538</v>
      </c>
      <c r="AD26" s="3" t="s">
        <v>113</v>
      </c>
      <c r="AE26" s="3" t="s">
        <v>113</v>
      </c>
      <c r="AF26" s="3" t="s">
        <v>113</v>
      </c>
      <c r="AG26" s="3" t="s">
        <v>113</v>
      </c>
      <c r="AH26" s="3" t="s">
        <v>113</v>
      </c>
      <c r="AI26" s="3" t="s">
        <v>113</v>
      </c>
      <c r="AJ26" s="3">
        <v>865.52200000000005</v>
      </c>
      <c r="AK26" s="3" t="s">
        <v>3539</v>
      </c>
      <c r="AL26" s="3" t="s">
        <v>113</v>
      </c>
      <c r="AM26" s="3" t="s">
        <v>113</v>
      </c>
      <c r="AN26" s="3" t="s">
        <v>113</v>
      </c>
      <c r="AO26" s="3" t="s">
        <v>131</v>
      </c>
      <c r="AP26" s="3" t="s">
        <v>3540</v>
      </c>
      <c r="AQ26" s="3" t="s">
        <v>3541</v>
      </c>
      <c r="AR26" s="3" t="s">
        <v>3542</v>
      </c>
      <c r="AS26" s="3" t="s">
        <v>3543</v>
      </c>
      <c r="AT26" s="3" t="s">
        <v>3544</v>
      </c>
      <c r="AU26" s="3" t="s">
        <v>3545</v>
      </c>
      <c r="AV26" s="7">
        <v>0.121</v>
      </c>
      <c r="AW26" s="11"/>
      <c r="AX26" s="11"/>
      <c r="AY26" s="3" t="s">
        <v>3358</v>
      </c>
      <c r="BA26" s="3" t="s">
        <v>3546</v>
      </c>
      <c r="BB26" s="3" t="s">
        <v>3547</v>
      </c>
      <c r="BC26" s="3" t="s">
        <v>3548</v>
      </c>
      <c r="BD26" s="3" t="s">
        <v>3549</v>
      </c>
      <c r="BE26" s="3" t="s">
        <v>3550</v>
      </c>
      <c r="BF26" s="3" t="s">
        <v>3532</v>
      </c>
      <c r="BG26" s="3" t="s">
        <v>3471</v>
      </c>
      <c r="BH26" s="3" t="s">
        <v>3548</v>
      </c>
      <c r="BI26" s="3" t="s">
        <v>3508</v>
      </c>
      <c r="BJ26" s="3" t="s">
        <v>3551</v>
      </c>
      <c r="BK26" s="3" t="s">
        <v>3436</v>
      </c>
      <c r="BL26" s="3" t="s">
        <v>3552</v>
      </c>
      <c r="BM26" s="3" t="s">
        <v>3553</v>
      </c>
      <c r="BN26" s="3" t="s">
        <v>3554</v>
      </c>
      <c r="BO26" s="3">
        <v>1.0500000000000001E-2</v>
      </c>
      <c r="BP26" s="3">
        <v>1.0500000000000001E-2</v>
      </c>
      <c r="BQ26" s="3">
        <v>1.0500000000000001E-2</v>
      </c>
      <c r="BR26" s="3">
        <v>176</v>
      </c>
      <c r="BS26" s="3">
        <v>156</v>
      </c>
      <c r="BT26" s="3">
        <v>18</v>
      </c>
      <c r="BU26" s="3">
        <v>1334</v>
      </c>
      <c r="BV26" s="3">
        <v>600</v>
      </c>
      <c r="BW26" s="3">
        <v>756</v>
      </c>
      <c r="BX26" s="3">
        <v>1126</v>
      </c>
      <c r="BY26" s="3" t="s">
        <v>111</v>
      </c>
      <c r="BZ26" s="3" t="s">
        <v>153</v>
      </c>
      <c r="CA26" s="3">
        <v>0</v>
      </c>
      <c r="CB26" s="3" t="s">
        <v>111</v>
      </c>
      <c r="CC26" s="3" t="s">
        <v>111</v>
      </c>
      <c r="CD26" s="3" t="s">
        <v>351</v>
      </c>
      <c r="CE26" s="3" t="s">
        <v>111</v>
      </c>
      <c r="CF26" s="3">
        <v>5022</v>
      </c>
      <c r="CI26" s="3">
        <f t="shared" si="2"/>
        <v>0.189</v>
      </c>
      <c r="CN26" s="3" t="s">
        <v>3358</v>
      </c>
      <c r="CO26" s="3" t="s">
        <v>4707</v>
      </c>
    </row>
    <row r="27" spans="1:93" ht="16" x14ac:dyDescent="0.2">
      <c r="A27" s="3" t="s">
        <v>3359</v>
      </c>
      <c r="C27" s="4" t="s">
        <v>4726</v>
      </c>
      <c r="D27" s="4">
        <v>12</v>
      </c>
      <c r="E27" s="5" t="s">
        <v>4734</v>
      </c>
      <c r="G27" s="3" t="s">
        <v>4707</v>
      </c>
      <c r="H27" s="3">
        <v>18037</v>
      </c>
      <c r="I27" s="14">
        <v>45155.820138888892</v>
      </c>
      <c r="J27" s="14">
        <v>45167.573611111111</v>
      </c>
      <c r="K27" s="3" t="s">
        <v>383</v>
      </c>
      <c r="L27" s="3" t="s">
        <v>111</v>
      </c>
      <c r="M27" s="3" t="s">
        <v>111</v>
      </c>
      <c r="N27" s="3" t="s">
        <v>111</v>
      </c>
      <c r="O27" s="3" t="s">
        <v>112</v>
      </c>
      <c r="P27" s="3" t="s">
        <v>113</v>
      </c>
      <c r="Q27" s="3" t="s">
        <v>113</v>
      </c>
      <c r="R27" s="3">
        <v>0</v>
      </c>
      <c r="S27" s="3" t="s">
        <v>113</v>
      </c>
      <c r="T27" s="3">
        <v>0.8</v>
      </c>
      <c r="U27" s="3">
        <v>1</v>
      </c>
      <c r="V27" s="3">
        <v>270</v>
      </c>
      <c r="W27" s="3">
        <v>6</v>
      </c>
      <c r="X27" s="3">
        <v>8847</v>
      </c>
      <c r="Y27" s="3">
        <v>0.14560000000000001</v>
      </c>
      <c r="Z27" s="3">
        <v>0.1323</v>
      </c>
      <c r="AA27" s="3">
        <v>0.90859999999999996</v>
      </c>
      <c r="AB27" s="3" t="s">
        <v>113</v>
      </c>
      <c r="AC27" s="3" t="s">
        <v>3572</v>
      </c>
      <c r="AD27" s="3" t="s">
        <v>113</v>
      </c>
      <c r="AE27" s="3" t="s">
        <v>113</v>
      </c>
      <c r="AF27" s="3" t="s">
        <v>113</v>
      </c>
      <c r="AG27" s="3" t="s">
        <v>113</v>
      </c>
      <c r="AH27" s="3" t="s">
        <v>113</v>
      </c>
      <c r="AI27" s="3" t="s">
        <v>113</v>
      </c>
      <c r="AJ27" s="3">
        <v>938.06370000000004</v>
      </c>
      <c r="AK27" s="3" t="s">
        <v>3573</v>
      </c>
      <c r="AL27" s="3" t="s">
        <v>113</v>
      </c>
      <c r="AM27" s="3" t="s">
        <v>113</v>
      </c>
      <c r="AN27" s="3" t="s">
        <v>113</v>
      </c>
      <c r="AO27" s="3" t="s">
        <v>131</v>
      </c>
      <c r="AP27" s="3" t="s">
        <v>3540</v>
      </c>
      <c r="AQ27" s="3" t="s">
        <v>3574</v>
      </c>
      <c r="AR27" s="3" t="s">
        <v>3459</v>
      </c>
      <c r="AS27" s="3" t="s">
        <v>3575</v>
      </c>
      <c r="AT27" s="3" t="s">
        <v>3576</v>
      </c>
      <c r="AU27" s="3" t="s">
        <v>3577</v>
      </c>
      <c r="AV27" s="7">
        <v>0.154</v>
      </c>
      <c r="AW27" s="11"/>
      <c r="AX27" s="11"/>
      <c r="AY27" s="3" t="s">
        <v>3359</v>
      </c>
      <c r="BA27" s="3" t="s">
        <v>3579</v>
      </c>
      <c r="BB27" s="3" t="s">
        <v>3580</v>
      </c>
      <c r="BC27" s="3" t="s">
        <v>3581</v>
      </c>
      <c r="BD27" s="3" t="s">
        <v>3582</v>
      </c>
      <c r="BE27" s="3" t="s">
        <v>3583</v>
      </c>
      <c r="BF27" s="3" t="s">
        <v>3471</v>
      </c>
      <c r="BG27" s="3" t="s">
        <v>3584</v>
      </c>
      <c r="BH27" s="3" t="s">
        <v>3581</v>
      </c>
      <c r="BI27" s="3" t="s">
        <v>3585</v>
      </c>
      <c r="BJ27" s="3" t="s">
        <v>3586</v>
      </c>
      <c r="BK27" s="3" t="s">
        <v>3436</v>
      </c>
      <c r="BL27" s="3" t="s">
        <v>3587</v>
      </c>
      <c r="BM27" s="3" t="s">
        <v>3588</v>
      </c>
      <c r="BN27" s="3" t="s">
        <v>3589</v>
      </c>
      <c r="BO27" s="3">
        <v>1.0500000000000001E-2</v>
      </c>
      <c r="BP27" s="3">
        <v>1.0500000000000001E-2</v>
      </c>
      <c r="BQ27" s="3">
        <v>1.0500000000000001E-2</v>
      </c>
      <c r="BR27" s="3">
        <v>180</v>
      </c>
      <c r="BS27" s="3">
        <v>144</v>
      </c>
      <c r="BT27" s="3">
        <v>19</v>
      </c>
      <c r="BU27" s="3">
        <v>1402</v>
      </c>
      <c r="BV27" s="3">
        <v>1260</v>
      </c>
      <c r="BW27" s="3">
        <v>388</v>
      </c>
      <c r="BX27" s="3">
        <v>1040</v>
      </c>
      <c r="BY27" s="3" t="s">
        <v>111</v>
      </c>
      <c r="BZ27" s="3" t="s">
        <v>153</v>
      </c>
      <c r="CA27" s="3">
        <v>0</v>
      </c>
      <c r="CB27" s="3" t="s">
        <v>111</v>
      </c>
      <c r="CC27" s="3" t="s">
        <v>111</v>
      </c>
      <c r="CD27" s="3" t="s">
        <v>417</v>
      </c>
      <c r="CE27" s="3" t="s">
        <v>111</v>
      </c>
      <c r="CF27" s="3">
        <v>5022</v>
      </c>
      <c r="CI27" s="3">
        <f t="shared" si="2"/>
        <v>0.19950000000000001</v>
      </c>
      <c r="CN27" s="3" t="s">
        <v>3359</v>
      </c>
      <c r="CO27" s="3" t="s">
        <v>4707</v>
      </c>
    </row>
    <row r="28" spans="1:93" ht="16" x14ac:dyDescent="0.2">
      <c r="A28" s="3" t="s">
        <v>3360</v>
      </c>
      <c r="C28" s="4" t="s">
        <v>4726</v>
      </c>
      <c r="D28" s="4">
        <v>12</v>
      </c>
      <c r="E28" s="5" t="s">
        <v>4734</v>
      </c>
      <c r="G28" s="3" t="s">
        <v>4707</v>
      </c>
      <c r="H28" s="3">
        <v>18039</v>
      </c>
      <c r="I28" s="14">
        <v>45155.831944444442</v>
      </c>
      <c r="J28" s="14">
        <v>45167.585416666669</v>
      </c>
      <c r="K28" s="3" t="s">
        <v>450</v>
      </c>
      <c r="L28" s="3" t="s">
        <v>111</v>
      </c>
      <c r="M28" s="3" t="s">
        <v>111</v>
      </c>
      <c r="N28" s="3" t="s">
        <v>111</v>
      </c>
      <c r="O28" s="3" t="s">
        <v>112</v>
      </c>
      <c r="P28" s="3" t="s">
        <v>113</v>
      </c>
      <c r="Q28" s="3" t="s">
        <v>113</v>
      </c>
      <c r="R28" s="3">
        <v>0</v>
      </c>
      <c r="S28" s="3" t="s">
        <v>113</v>
      </c>
      <c r="T28" s="3">
        <v>0.8</v>
      </c>
      <c r="U28" s="3">
        <v>1</v>
      </c>
      <c r="V28" s="3">
        <v>270</v>
      </c>
      <c r="W28" s="3">
        <v>6</v>
      </c>
      <c r="X28" s="3">
        <v>8847</v>
      </c>
      <c r="Y28" s="3">
        <v>5.3400000000000003E-2</v>
      </c>
      <c r="Z28" s="3">
        <v>4.4499999999999998E-2</v>
      </c>
      <c r="AA28" s="3">
        <v>0.83350000000000002</v>
      </c>
      <c r="AB28" s="3" t="s">
        <v>113</v>
      </c>
      <c r="AC28" s="3" t="s">
        <v>3605</v>
      </c>
      <c r="AD28" s="3" t="s">
        <v>113</v>
      </c>
      <c r="AE28" s="3" t="s">
        <v>113</v>
      </c>
      <c r="AF28" s="3" t="s">
        <v>113</v>
      </c>
      <c r="AG28" s="3" t="s">
        <v>113</v>
      </c>
      <c r="AH28" s="3" t="s">
        <v>113</v>
      </c>
      <c r="AI28" s="3" t="s">
        <v>113</v>
      </c>
      <c r="AJ28" s="3">
        <v>787.67420000000004</v>
      </c>
      <c r="AK28" s="3" t="s">
        <v>3606</v>
      </c>
      <c r="AL28" s="3" t="s">
        <v>113</v>
      </c>
      <c r="AM28" s="3" t="s">
        <v>113</v>
      </c>
      <c r="AN28" s="3" t="s">
        <v>113</v>
      </c>
      <c r="AO28" s="3" t="s">
        <v>131</v>
      </c>
      <c r="AP28" s="3" t="s">
        <v>3542</v>
      </c>
      <c r="AQ28" s="3" t="s">
        <v>3607</v>
      </c>
      <c r="AR28" s="3" t="s">
        <v>3608</v>
      </c>
      <c r="AS28" s="3" t="s">
        <v>3609</v>
      </c>
      <c r="AT28" s="3" t="s">
        <v>3610</v>
      </c>
      <c r="AU28" s="3" t="s">
        <v>3611</v>
      </c>
      <c r="AV28" s="7">
        <v>0.122</v>
      </c>
      <c r="AY28" s="3" t="s">
        <v>3360</v>
      </c>
      <c r="BA28" s="3" t="s">
        <v>3613</v>
      </c>
      <c r="BB28" s="3" t="s">
        <v>3614</v>
      </c>
      <c r="BC28" s="3" t="s">
        <v>3615</v>
      </c>
      <c r="BD28" s="3" t="s">
        <v>3616</v>
      </c>
      <c r="BE28" s="3" t="s">
        <v>3542</v>
      </c>
      <c r="BF28" s="3" t="s">
        <v>3617</v>
      </c>
      <c r="BG28" s="3" t="s">
        <v>3618</v>
      </c>
      <c r="BH28" s="3" t="s">
        <v>3619</v>
      </c>
      <c r="BI28" s="3" t="s">
        <v>3620</v>
      </c>
      <c r="BJ28" s="3" t="s">
        <v>3621</v>
      </c>
      <c r="BK28" s="3" t="s">
        <v>3497</v>
      </c>
      <c r="BL28" s="3" t="s">
        <v>3622</v>
      </c>
      <c r="BM28" s="3" t="s">
        <v>3507</v>
      </c>
      <c r="BN28" s="3" t="s">
        <v>3623</v>
      </c>
      <c r="BO28" s="3">
        <v>1.0500000000000001E-2</v>
      </c>
      <c r="BP28" s="3">
        <v>1.0500000000000001E-2</v>
      </c>
      <c r="BQ28" s="3">
        <v>1.0500000000000001E-2</v>
      </c>
      <c r="BR28" s="3">
        <v>112</v>
      </c>
      <c r="BS28" s="3">
        <v>112</v>
      </c>
      <c r="BT28" s="3">
        <v>14</v>
      </c>
      <c r="BU28" s="3">
        <v>1042</v>
      </c>
      <c r="BV28" s="3">
        <v>1473</v>
      </c>
      <c r="BW28" s="3">
        <v>256</v>
      </c>
      <c r="BX28" s="3">
        <v>940</v>
      </c>
      <c r="BY28" s="3" t="s">
        <v>111</v>
      </c>
      <c r="BZ28" s="3" t="s">
        <v>153</v>
      </c>
      <c r="CA28" s="3">
        <v>0</v>
      </c>
      <c r="CB28" s="3" t="s">
        <v>111</v>
      </c>
      <c r="CC28" s="3" t="s">
        <v>111</v>
      </c>
      <c r="CD28" s="3" t="s">
        <v>483</v>
      </c>
      <c r="CE28" s="3" t="s">
        <v>111</v>
      </c>
      <c r="CF28" s="3">
        <v>5022</v>
      </c>
      <c r="CI28" s="3">
        <f t="shared" si="2"/>
        <v>0.14700000000000002</v>
      </c>
      <c r="CN28" s="3" t="s">
        <v>3360</v>
      </c>
      <c r="CO28" s="3" t="s">
        <v>4707</v>
      </c>
    </row>
    <row r="29" spans="1:93" ht="16" x14ac:dyDescent="0.2">
      <c r="A29" s="3" t="s">
        <v>3361</v>
      </c>
      <c r="C29" s="5" t="s">
        <v>4726</v>
      </c>
      <c r="D29" s="4">
        <v>12</v>
      </c>
      <c r="E29" s="5" t="s">
        <v>4734</v>
      </c>
      <c r="G29" s="3" t="s">
        <v>4707</v>
      </c>
      <c r="H29" s="3">
        <v>18040</v>
      </c>
      <c r="I29" s="14">
        <v>45155.838888888888</v>
      </c>
      <c r="J29" s="14">
        <v>45167.600694444445</v>
      </c>
      <c r="K29" s="3" t="s">
        <v>517</v>
      </c>
      <c r="L29" s="3" t="s">
        <v>111</v>
      </c>
      <c r="M29" s="3" t="s">
        <v>111</v>
      </c>
      <c r="N29" s="3" t="s">
        <v>111</v>
      </c>
      <c r="O29" s="3" t="s">
        <v>112</v>
      </c>
      <c r="P29" s="3" t="s">
        <v>113</v>
      </c>
      <c r="Q29" s="3" t="s">
        <v>113</v>
      </c>
      <c r="R29" s="3">
        <v>0</v>
      </c>
      <c r="S29" s="3" t="s">
        <v>113</v>
      </c>
      <c r="T29" s="3">
        <v>0.8</v>
      </c>
      <c r="U29" s="3">
        <v>1</v>
      </c>
      <c r="V29" s="3">
        <v>270</v>
      </c>
      <c r="W29" s="3">
        <v>6</v>
      </c>
      <c r="X29" s="3">
        <v>8847</v>
      </c>
      <c r="Y29" s="3">
        <v>0.15</v>
      </c>
      <c r="Z29" s="3">
        <v>0.1358</v>
      </c>
      <c r="AA29" s="3">
        <v>0.90549999999999997</v>
      </c>
      <c r="AB29" s="3" t="s">
        <v>113</v>
      </c>
      <c r="AC29" s="3" t="s">
        <v>3639</v>
      </c>
      <c r="AD29" s="3" t="s">
        <v>113</v>
      </c>
      <c r="AE29" s="3" t="s">
        <v>113</v>
      </c>
      <c r="AF29" s="3" t="s">
        <v>113</v>
      </c>
      <c r="AG29" s="3" t="s">
        <v>113</v>
      </c>
      <c r="AH29" s="3" t="s">
        <v>113</v>
      </c>
      <c r="AI29" s="3" t="s">
        <v>113</v>
      </c>
      <c r="AJ29" s="3">
        <v>940.17160000000001</v>
      </c>
      <c r="AK29" s="3" t="s">
        <v>3640</v>
      </c>
      <c r="AL29" s="3" t="s">
        <v>113</v>
      </c>
      <c r="AM29" s="3" t="s">
        <v>113</v>
      </c>
      <c r="AN29" s="3" t="s">
        <v>113</v>
      </c>
      <c r="AO29" s="3" t="s">
        <v>131</v>
      </c>
      <c r="AP29" s="3" t="s">
        <v>3641</v>
      </c>
      <c r="AQ29" s="3" t="s">
        <v>3465</v>
      </c>
      <c r="AR29" s="3" t="s">
        <v>3600</v>
      </c>
      <c r="AS29" s="3" t="s">
        <v>3642</v>
      </c>
      <c r="AT29" s="3" t="s">
        <v>3643</v>
      </c>
      <c r="AU29" s="3" t="s">
        <v>3644</v>
      </c>
      <c r="AV29" s="7">
        <v>0.156</v>
      </c>
      <c r="AY29" s="3" t="s">
        <v>3361</v>
      </c>
      <c r="BA29" s="3" t="s">
        <v>3646</v>
      </c>
      <c r="BB29" s="3" t="s">
        <v>3647</v>
      </c>
      <c r="BC29" s="3" t="s">
        <v>3489</v>
      </c>
      <c r="BD29" s="3" t="s">
        <v>3648</v>
      </c>
      <c r="BE29" s="3" t="s">
        <v>3649</v>
      </c>
      <c r="BF29" s="3" t="s">
        <v>3474</v>
      </c>
      <c r="BG29" s="3" t="s">
        <v>3477</v>
      </c>
      <c r="BH29" s="3" t="s">
        <v>3493</v>
      </c>
      <c r="BI29" s="3" t="s">
        <v>3650</v>
      </c>
      <c r="BJ29" s="3" t="s">
        <v>3649</v>
      </c>
      <c r="BK29" s="3" t="s">
        <v>3651</v>
      </c>
      <c r="BL29" s="3" t="s">
        <v>3652</v>
      </c>
      <c r="BM29" s="3" t="s">
        <v>3653</v>
      </c>
      <c r="BN29" s="3" t="s">
        <v>3566</v>
      </c>
      <c r="BO29" s="3">
        <v>1.0500000000000001E-2</v>
      </c>
      <c r="BP29" s="3">
        <v>1.0500000000000001E-2</v>
      </c>
      <c r="BQ29" s="3">
        <v>1.0500000000000001E-2</v>
      </c>
      <c r="BR29" s="3">
        <v>148</v>
      </c>
      <c r="BS29" s="3">
        <v>140</v>
      </c>
      <c r="BT29" s="3">
        <v>24</v>
      </c>
      <c r="BU29" s="3">
        <v>605</v>
      </c>
      <c r="BV29" s="3">
        <v>1576</v>
      </c>
      <c r="BW29" s="3">
        <v>798</v>
      </c>
      <c r="BX29" s="3">
        <v>1126</v>
      </c>
      <c r="BY29" s="3" t="s">
        <v>111</v>
      </c>
      <c r="BZ29" s="3" t="s">
        <v>153</v>
      </c>
      <c r="CA29" s="3">
        <v>0</v>
      </c>
      <c r="CB29" s="3" t="s">
        <v>111</v>
      </c>
      <c r="CC29" s="3" t="s">
        <v>111</v>
      </c>
      <c r="CD29" s="3" t="s">
        <v>550</v>
      </c>
      <c r="CE29" s="3" t="s">
        <v>111</v>
      </c>
      <c r="CF29" s="3">
        <v>5022</v>
      </c>
      <c r="CI29" s="3">
        <f t="shared" si="2"/>
        <v>0.252</v>
      </c>
      <c r="CN29" s="3" t="s">
        <v>3361</v>
      </c>
      <c r="CO29" s="3" t="s">
        <v>4707</v>
      </c>
    </row>
    <row r="30" spans="1:93" ht="16" x14ac:dyDescent="0.2">
      <c r="C30" s="4" t="s">
        <v>4726</v>
      </c>
      <c r="D30" s="4">
        <v>12</v>
      </c>
      <c r="E30" s="5" t="s">
        <v>4734</v>
      </c>
    </row>
    <row r="32" spans="1:93" ht="16" x14ac:dyDescent="0.2">
      <c r="A32" s="3" t="s">
        <v>3370</v>
      </c>
      <c r="C32" s="4" t="s">
        <v>4726</v>
      </c>
      <c r="D32" s="4">
        <v>12</v>
      </c>
      <c r="E32" s="5" t="s">
        <v>4732</v>
      </c>
      <c r="G32" s="3" t="s">
        <v>4707</v>
      </c>
      <c r="H32" s="3">
        <v>18050</v>
      </c>
      <c r="I32" s="14">
        <v>45156.55</v>
      </c>
      <c r="J32" s="14">
        <v>45168.779861111114</v>
      </c>
      <c r="K32" s="3" t="s">
        <v>1079</v>
      </c>
      <c r="L32" s="3" t="s">
        <v>111</v>
      </c>
      <c r="M32" s="3" t="s">
        <v>111</v>
      </c>
      <c r="N32" s="3" t="s">
        <v>111</v>
      </c>
      <c r="O32" s="3" t="s">
        <v>112</v>
      </c>
      <c r="P32" s="3" t="s">
        <v>113</v>
      </c>
      <c r="Q32" s="3" t="s">
        <v>113</v>
      </c>
      <c r="R32" s="3">
        <v>0</v>
      </c>
      <c r="S32" s="3" t="s">
        <v>113</v>
      </c>
      <c r="T32" s="3">
        <v>0.8</v>
      </c>
      <c r="U32" s="3">
        <v>1</v>
      </c>
      <c r="V32" s="3">
        <v>270</v>
      </c>
      <c r="W32" s="3">
        <v>6</v>
      </c>
      <c r="X32" s="3">
        <v>8847</v>
      </c>
      <c r="Y32" s="3">
        <v>0.1222</v>
      </c>
      <c r="Z32" s="3">
        <v>0.1134</v>
      </c>
      <c r="AA32" s="3">
        <v>0.92859999999999998</v>
      </c>
      <c r="AB32" s="3" t="s">
        <v>113</v>
      </c>
      <c r="AC32" s="3" t="s">
        <v>3891</v>
      </c>
      <c r="AD32" s="3" t="s">
        <v>113</v>
      </c>
      <c r="AE32" s="3" t="s">
        <v>113</v>
      </c>
      <c r="AF32" s="3" t="s">
        <v>113</v>
      </c>
      <c r="AG32" s="3" t="s">
        <v>113</v>
      </c>
      <c r="AH32" s="3" t="s">
        <v>113</v>
      </c>
      <c r="AI32" s="3" t="s">
        <v>113</v>
      </c>
      <c r="AJ32" s="3">
        <v>885.00210000000004</v>
      </c>
      <c r="AK32" s="3" t="s">
        <v>3892</v>
      </c>
      <c r="AL32" s="3" t="s">
        <v>113</v>
      </c>
      <c r="AM32" s="3" t="s">
        <v>113</v>
      </c>
      <c r="AN32" s="3" t="s">
        <v>113</v>
      </c>
      <c r="AO32" s="3" t="s">
        <v>131</v>
      </c>
      <c r="AP32" s="3" t="s">
        <v>3893</v>
      </c>
      <c r="AQ32" s="3" t="s">
        <v>3493</v>
      </c>
      <c r="AR32" s="3" t="s">
        <v>3894</v>
      </c>
      <c r="AS32" s="3" t="s">
        <v>3895</v>
      </c>
      <c r="AT32" s="3" t="s">
        <v>3896</v>
      </c>
      <c r="AU32" s="3" t="s">
        <v>3897</v>
      </c>
      <c r="AV32" s="7">
        <v>0.156</v>
      </c>
      <c r="AY32" s="3" t="s">
        <v>3370</v>
      </c>
      <c r="BA32" s="3" t="s">
        <v>3898</v>
      </c>
      <c r="BB32" s="3" t="s">
        <v>3899</v>
      </c>
      <c r="BC32" s="3" t="s">
        <v>3900</v>
      </c>
      <c r="BD32" s="3" t="s">
        <v>3901</v>
      </c>
      <c r="BE32" s="3" t="s">
        <v>3869</v>
      </c>
      <c r="BF32" s="3" t="s">
        <v>3492</v>
      </c>
      <c r="BG32" s="3" t="s">
        <v>3429</v>
      </c>
      <c r="BH32" s="3" t="s">
        <v>3900</v>
      </c>
      <c r="BI32" s="3" t="s">
        <v>3745</v>
      </c>
      <c r="BJ32" s="3" t="s">
        <v>3902</v>
      </c>
      <c r="BK32" s="3" t="s">
        <v>3497</v>
      </c>
      <c r="BL32" s="3" t="s">
        <v>3869</v>
      </c>
      <c r="BM32" s="3" t="s">
        <v>3584</v>
      </c>
      <c r="BN32" s="3" t="s">
        <v>3903</v>
      </c>
      <c r="BO32" s="3">
        <v>1.0500000000000001E-2</v>
      </c>
      <c r="BP32" s="3">
        <v>1.0500000000000001E-2</v>
      </c>
      <c r="BQ32" s="3">
        <v>1.0500000000000001E-2</v>
      </c>
      <c r="BR32" s="3">
        <v>120</v>
      </c>
      <c r="BS32" s="3">
        <v>160</v>
      </c>
      <c r="BT32" s="3">
        <v>18</v>
      </c>
      <c r="BU32" s="3">
        <v>277</v>
      </c>
      <c r="BV32" s="3">
        <v>1191</v>
      </c>
      <c r="BW32" s="3">
        <v>710</v>
      </c>
      <c r="BX32" s="3">
        <v>1100</v>
      </c>
      <c r="BY32" s="3" t="s">
        <v>111</v>
      </c>
      <c r="BZ32" s="3" t="s">
        <v>153</v>
      </c>
      <c r="CA32" s="3">
        <v>0</v>
      </c>
      <c r="CB32" s="3" t="s">
        <v>111</v>
      </c>
      <c r="CC32" s="3" t="s">
        <v>111</v>
      </c>
      <c r="CD32" s="3" t="s">
        <v>1107</v>
      </c>
      <c r="CE32" s="3" t="s">
        <v>111</v>
      </c>
      <c r="CF32" s="3">
        <v>5022</v>
      </c>
      <c r="CI32" s="3">
        <f>BQ32*BT32</f>
        <v>0.189</v>
      </c>
      <c r="CN32" s="3" t="s">
        <v>3370</v>
      </c>
      <c r="CO32" s="3" t="s">
        <v>4707</v>
      </c>
    </row>
    <row r="33" spans="1:93" ht="16" x14ac:dyDescent="0.2">
      <c r="A33" s="3" t="s">
        <v>3371</v>
      </c>
      <c r="C33" s="5" t="s">
        <v>4726</v>
      </c>
      <c r="D33" s="4">
        <v>12</v>
      </c>
      <c r="E33" s="5" t="s">
        <v>4732</v>
      </c>
      <c r="G33" s="3" t="s">
        <v>4707</v>
      </c>
      <c r="H33" s="3">
        <v>18051</v>
      </c>
      <c r="I33" s="14">
        <v>45156.603472222225</v>
      </c>
      <c r="J33" s="14">
        <v>45168.789583333331</v>
      </c>
      <c r="K33" s="3" t="s">
        <v>1140</v>
      </c>
      <c r="L33" s="3" t="s">
        <v>111</v>
      </c>
      <c r="M33" s="3" t="s">
        <v>111</v>
      </c>
      <c r="N33" s="3" t="s">
        <v>111</v>
      </c>
      <c r="O33" s="3" t="s">
        <v>112</v>
      </c>
      <c r="P33" s="3" t="s">
        <v>113</v>
      </c>
      <c r="Q33" s="3" t="s">
        <v>113</v>
      </c>
      <c r="R33" s="3">
        <v>0</v>
      </c>
      <c r="S33" s="3" t="s">
        <v>113</v>
      </c>
      <c r="T33" s="3">
        <v>0.8</v>
      </c>
      <c r="U33" s="3">
        <v>1</v>
      </c>
      <c r="V33" s="3">
        <v>270</v>
      </c>
      <c r="W33" s="3">
        <v>6</v>
      </c>
      <c r="X33" s="3">
        <v>8847</v>
      </c>
      <c r="Y33" s="3">
        <v>0.1079</v>
      </c>
      <c r="Z33" s="3">
        <v>0.10340000000000001</v>
      </c>
      <c r="AA33" s="3">
        <v>0.9587</v>
      </c>
      <c r="AB33" s="3" t="s">
        <v>113</v>
      </c>
      <c r="AC33" s="3" t="s">
        <v>3916</v>
      </c>
      <c r="AD33" s="3" t="s">
        <v>113</v>
      </c>
      <c r="AE33" s="3" t="s">
        <v>113</v>
      </c>
      <c r="AF33" s="3" t="s">
        <v>113</v>
      </c>
      <c r="AG33" s="3" t="s">
        <v>113</v>
      </c>
      <c r="AH33" s="3" t="s">
        <v>113</v>
      </c>
      <c r="AI33" s="3" t="s">
        <v>113</v>
      </c>
      <c r="AJ33" s="3">
        <v>922.87199999999996</v>
      </c>
      <c r="AK33" s="3" t="s">
        <v>3917</v>
      </c>
      <c r="AL33" s="3" t="s">
        <v>113</v>
      </c>
      <c r="AM33" s="3" t="s">
        <v>113</v>
      </c>
      <c r="AN33" s="3" t="s">
        <v>113</v>
      </c>
      <c r="AO33" s="3" t="s">
        <v>131</v>
      </c>
      <c r="AP33" s="3" t="s">
        <v>3918</v>
      </c>
      <c r="AQ33" s="3" t="s">
        <v>3900</v>
      </c>
      <c r="AR33" s="3" t="s">
        <v>3854</v>
      </c>
      <c r="AS33" s="3" t="s">
        <v>3919</v>
      </c>
      <c r="AT33" s="3" t="s">
        <v>3920</v>
      </c>
      <c r="AU33" s="3" t="s">
        <v>3921</v>
      </c>
      <c r="AV33" s="7">
        <v>0.14599999999999999</v>
      </c>
      <c r="AY33" s="3" t="s">
        <v>3371</v>
      </c>
      <c r="BA33" s="3" t="s">
        <v>3923</v>
      </c>
      <c r="BB33" s="3" t="s">
        <v>3924</v>
      </c>
      <c r="BC33" s="3" t="s">
        <v>3548</v>
      </c>
      <c r="BD33" s="3" t="s">
        <v>3898</v>
      </c>
      <c r="BE33" s="3" t="s">
        <v>3925</v>
      </c>
      <c r="BF33" s="3" t="s">
        <v>3430</v>
      </c>
      <c r="BG33" s="3" t="s">
        <v>3497</v>
      </c>
      <c r="BH33" s="3" t="s">
        <v>3548</v>
      </c>
      <c r="BI33" s="3" t="s">
        <v>3661</v>
      </c>
      <c r="BJ33" s="3" t="s">
        <v>3831</v>
      </c>
      <c r="BK33" s="3" t="s">
        <v>3926</v>
      </c>
      <c r="BL33" s="3" t="s">
        <v>3927</v>
      </c>
      <c r="BM33" s="3" t="s">
        <v>3824</v>
      </c>
      <c r="BN33" s="3" t="s">
        <v>3532</v>
      </c>
      <c r="BO33" s="3">
        <v>1.0500000000000001E-2</v>
      </c>
      <c r="BP33" s="3">
        <v>1.0500000000000001E-2</v>
      </c>
      <c r="BQ33" s="3">
        <v>1.0500000000000001E-2</v>
      </c>
      <c r="BR33" s="3">
        <v>156</v>
      </c>
      <c r="BS33" s="3">
        <v>124</v>
      </c>
      <c r="BT33" s="3">
        <v>18</v>
      </c>
      <c r="BU33" s="3">
        <v>544</v>
      </c>
      <c r="BV33" s="3">
        <v>564</v>
      </c>
      <c r="BW33" s="3">
        <v>715</v>
      </c>
      <c r="BX33" s="3">
        <v>1090</v>
      </c>
      <c r="BY33" s="3" t="s">
        <v>111</v>
      </c>
      <c r="BZ33" s="3" t="s">
        <v>153</v>
      </c>
      <c r="CA33" s="3">
        <v>0</v>
      </c>
      <c r="CB33" s="3" t="s">
        <v>111</v>
      </c>
      <c r="CC33" s="3" t="s">
        <v>111</v>
      </c>
      <c r="CD33" s="3" t="s">
        <v>1167</v>
      </c>
      <c r="CE33" s="3" t="s">
        <v>111</v>
      </c>
      <c r="CF33" s="3">
        <v>5022</v>
      </c>
      <c r="CI33" s="3">
        <f>BQ33*BT33</f>
        <v>0.189</v>
      </c>
      <c r="CN33" s="3" t="s">
        <v>3371</v>
      </c>
      <c r="CO33" s="3" t="s">
        <v>4707</v>
      </c>
    </row>
    <row r="34" spans="1:93" ht="16" x14ac:dyDescent="0.2">
      <c r="A34" s="3" t="s">
        <v>3372</v>
      </c>
      <c r="C34" s="4" t="s">
        <v>4726</v>
      </c>
      <c r="D34" s="4">
        <v>12</v>
      </c>
      <c r="E34" s="5" t="s">
        <v>4732</v>
      </c>
      <c r="G34" s="3" t="s">
        <v>4707</v>
      </c>
      <c r="H34" s="3">
        <v>18052</v>
      </c>
      <c r="I34" s="14">
        <v>45156.61041666667</v>
      </c>
      <c r="J34" s="14">
        <v>45168.800000000003</v>
      </c>
      <c r="K34" s="3" t="s">
        <v>1195</v>
      </c>
      <c r="L34" s="3" t="s">
        <v>111</v>
      </c>
      <c r="M34" s="3" t="s">
        <v>111</v>
      </c>
      <c r="N34" s="3" t="s">
        <v>111</v>
      </c>
      <c r="O34" s="3" t="s">
        <v>112</v>
      </c>
      <c r="P34" s="3" t="s">
        <v>113</v>
      </c>
      <c r="Q34" s="3" t="s">
        <v>113</v>
      </c>
      <c r="R34" s="3">
        <v>0</v>
      </c>
      <c r="S34" s="3" t="s">
        <v>113</v>
      </c>
      <c r="T34" s="3">
        <v>0.8</v>
      </c>
      <c r="U34" s="3">
        <v>1</v>
      </c>
      <c r="V34" s="3">
        <v>270</v>
      </c>
      <c r="W34" s="3">
        <v>6</v>
      </c>
      <c r="X34" s="3">
        <v>8847</v>
      </c>
      <c r="Y34" s="3">
        <v>7.6399999999999996E-2</v>
      </c>
      <c r="Z34" s="3">
        <v>6.93E-2</v>
      </c>
      <c r="AA34" s="3">
        <v>0.90769999999999995</v>
      </c>
      <c r="AB34" s="3" t="s">
        <v>113</v>
      </c>
      <c r="AC34" s="3" t="s">
        <v>3943</v>
      </c>
      <c r="AD34" s="3" t="s">
        <v>113</v>
      </c>
      <c r="AE34" s="3" t="s">
        <v>113</v>
      </c>
      <c r="AF34" s="3" t="s">
        <v>113</v>
      </c>
      <c r="AG34" s="3" t="s">
        <v>113</v>
      </c>
      <c r="AH34" s="3" t="s">
        <v>113</v>
      </c>
      <c r="AI34" s="3" t="s">
        <v>113</v>
      </c>
      <c r="AJ34" s="3">
        <v>840.44500000000005</v>
      </c>
      <c r="AK34" s="3" t="s">
        <v>3944</v>
      </c>
      <c r="AL34" s="3" t="s">
        <v>113</v>
      </c>
      <c r="AM34" s="3" t="s">
        <v>113</v>
      </c>
      <c r="AN34" s="3" t="s">
        <v>113</v>
      </c>
      <c r="AO34" s="3" t="s">
        <v>131</v>
      </c>
      <c r="AP34" s="3" t="s">
        <v>3786</v>
      </c>
      <c r="AQ34" s="3" t="s">
        <v>3945</v>
      </c>
      <c r="AR34" s="3" t="s">
        <v>3616</v>
      </c>
      <c r="AS34" s="3" t="s">
        <v>3946</v>
      </c>
      <c r="AT34" s="3" t="s">
        <v>3947</v>
      </c>
      <c r="AU34" s="3" t="s">
        <v>3948</v>
      </c>
      <c r="AV34" s="7">
        <v>0.113</v>
      </c>
      <c r="AY34" s="3" t="s">
        <v>3372</v>
      </c>
      <c r="BA34" s="3" t="s">
        <v>3949</v>
      </c>
      <c r="BB34" s="3" t="s">
        <v>3950</v>
      </c>
      <c r="BC34" s="3" t="s">
        <v>3951</v>
      </c>
      <c r="BD34" s="3" t="s">
        <v>3446</v>
      </c>
      <c r="BE34" s="3" t="s">
        <v>3952</v>
      </c>
      <c r="BF34" s="3" t="s">
        <v>3430</v>
      </c>
      <c r="BG34" s="3" t="s">
        <v>3566</v>
      </c>
      <c r="BH34" s="3" t="s">
        <v>3951</v>
      </c>
      <c r="BI34" s="3" t="s">
        <v>3953</v>
      </c>
      <c r="BJ34" s="3" t="s">
        <v>3954</v>
      </c>
      <c r="BK34" s="3" t="s">
        <v>3433</v>
      </c>
      <c r="BL34" s="3" t="s">
        <v>3955</v>
      </c>
      <c r="BM34" s="3" t="s">
        <v>3956</v>
      </c>
      <c r="BN34" s="3" t="s">
        <v>3535</v>
      </c>
      <c r="BO34" s="3">
        <v>1.0500000000000001E-2</v>
      </c>
      <c r="BP34" s="3">
        <v>1.0500000000000001E-2</v>
      </c>
      <c r="BQ34" s="3">
        <v>1.0500000000000001E-2</v>
      </c>
      <c r="BR34" s="3">
        <v>124</v>
      </c>
      <c r="BS34" s="3">
        <v>148</v>
      </c>
      <c r="BT34" s="3">
        <v>15</v>
      </c>
      <c r="BU34" s="3">
        <v>1293</v>
      </c>
      <c r="BV34" s="3">
        <v>558</v>
      </c>
      <c r="BW34" s="3">
        <v>552</v>
      </c>
      <c r="BX34" s="3">
        <v>980</v>
      </c>
      <c r="BY34" s="3" t="s">
        <v>111</v>
      </c>
      <c r="BZ34" s="3" t="s">
        <v>153</v>
      </c>
      <c r="CA34" s="3">
        <v>0</v>
      </c>
      <c r="CB34" s="3" t="s">
        <v>111</v>
      </c>
      <c r="CC34" s="3" t="s">
        <v>111</v>
      </c>
      <c r="CD34" s="3" t="s">
        <v>1224</v>
      </c>
      <c r="CE34" s="3" t="s">
        <v>111</v>
      </c>
      <c r="CF34" s="3">
        <v>5022</v>
      </c>
      <c r="CI34" s="3">
        <f>BQ34*BT34</f>
        <v>0.1575</v>
      </c>
      <c r="CN34" s="3" t="s">
        <v>3372</v>
      </c>
      <c r="CO34" s="3" t="s">
        <v>4707</v>
      </c>
    </row>
    <row r="35" spans="1:93" x14ac:dyDescent="0.2">
      <c r="A35" s="3" t="s">
        <v>3407</v>
      </c>
      <c r="C35" s="5" t="s">
        <v>4726</v>
      </c>
      <c r="D35" s="8">
        <v>11</v>
      </c>
      <c r="E35" s="5" t="s">
        <v>4732</v>
      </c>
      <c r="G35" s="3" t="s">
        <v>4707</v>
      </c>
      <c r="H35" s="3">
        <v>17303</v>
      </c>
      <c r="I35" s="14">
        <v>44747.633333333331</v>
      </c>
      <c r="J35" s="14">
        <v>45159.760416666664</v>
      </c>
      <c r="K35" s="3" t="s">
        <v>2986</v>
      </c>
      <c r="L35" s="3" t="s">
        <v>111</v>
      </c>
      <c r="M35" s="3" t="s">
        <v>111</v>
      </c>
      <c r="N35" s="3" t="s">
        <v>111</v>
      </c>
      <c r="O35" s="3" t="s">
        <v>112</v>
      </c>
      <c r="P35" s="3" t="s">
        <v>2165</v>
      </c>
      <c r="Q35" s="3" t="s">
        <v>2166</v>
      </c>
      <c r="R35" s="3">
        <v>36</v>
      </c>
      <c r="S35" s="3" t="s">
        <v>2167</v>
      </c>
      <c r="T35" s="3">
        <v>0.8</v>
      </c>
      <c r="U35" s="3">
        <v>1</v>
      </c>
      <c r="V35" s="3">
        <v>270</v>
      </c>
      <c r="W35" s="3">
        <v>6</v>
      </c>
      <c r="X35" s="3">
        <v>8847</v>
      </c>
      <c r="Y35" s="3">
        <v>0.13089999999999999</v>
      </c>
      <c r="Z35" s="3">
        <v>0.1171</v>
      </c>
      <c r="AA35" s="3">
        <v>0.89429999999999998</v>
      </c>
      <c r="AB35" s="3" t="s">
        <v>113</v>
      </c>
      <c r="AC35" s="3" t="s">
        <v>4607</v>
      </c>
      <c r="AD35" s="3" t="s">
        <v>113</v>
      </c>
      <c r="AE35" s="3" t="s">
        <v>113</v>
      </c>
      <c r="AF35" s="3" t="s">
        <v>113</v>
      </c>
      <c r="AG35" s="3" t="s">
        <v>113</v>
      </c>
      <c r="AH35" s="3" t="s">
        <v>113</v>
      </c>
      <c r="AI35" s="3" t="s">
        <v>113</v>
      </c>
      <c r="AJ35" s="3">
        <v>906.80830000000003</v>
      </c>
      <c r="AK35" s="3" t="s">
        <v>3353</v>
      </c>
      <c r="AL35" s="3" t="s">
        <v>113</v>
      </c>
      <c r="AM35" s="3" t="s">
        <v>113</v>
      </c>
      <c r="AN35" s="3" t="s">
        <v>113</v>
      </c>
      <c r="AO35" s="3" t="s">
        <v>131</v>
      </c>
      <c r="AP35" s="3" t="s">
        <v>3923</v>
      </c>
      <c r="AQ35" s="3" t="s">
        <v>3967</v>
      </c>
      <c r="AR35" s="3" t="s">
        <v>4049</v>
      </c>
      <c r="AS35" s="3" t="s">
        <v>4057</v>
      </c>
      <c r="AT35" s="3" t="s">
        <v>4608</v>
      </c>
      <c r="AU35" s="3" t="s">
        <v>4609</v>
      </c>
      <c r="AV35" s="7">
        <v>0.159</v>
      </c>
      <c r="AY35" s="3" t="s">
        <v>3407</v>
      </c>
      <c r="BA35" s="3" t="s">
        <v>3705</v>
      </c>
      <c r="BB35" s="3" t="s">
        <v>4610</v>
      </c>
      <c r="BC35" s="3" t="s">
        <v>3722</v>
      </c>
      <c r="BD35" s="3" t="s">
        <v>3923</v>
      </c>
      <c r="BE35" s="3" t="s">
        <v>4488</v>
      </c>
      <c r="BF35" s="3" t="s">
        <v>3497</v>
      </c>
      <c r="BG35" s="3" t="s">
        <v>3566</v>
      </c>
      <c r="BH35" s="3" t="s">
        <v>3722</v>
      </c>
      <c r="BI35" s="3" t="s">
        <v>3723</v>
      </c>
      <c r="BJ35" s="3" t="s">
        <v>3588</v>
      </c>
      <c r="BK35" s="3" t="s">
        <v>3532</v>
      </c>
      <c r="BL35" s="3" t="s">
        <v>4062</v>
      </c>
      <c r="BM35" s="3" t="s">
        <v>4611</v>
      </c>
      <c r="BN35" s="3" t="s">
        <v>3584</v>
      </c>
      <c r="BO35" s="3">
        <v>1.0500000000000001E-2</v>
      </c>
      <c r="BP35" s="3">
        <v>1.0500000000000001E-2</v>
      </c>
      <c r="BQ35" s="3">
        <v>1.0500000000000001E-2</v>
      </c>
      <c r="BR35" s="3">
        <v>164</v>
      </c>
      <c r="BS35" s="3">
        <v>124</v>
      </c>
      <c r="BT35" s="3">
        <v>19</v>
      </c>
      <c r="BU35" s="3">
        <v>1118</v>
      </c>
      <c r="BV35" s="3">
        <v>296</v>
      </c>
      <c r="BW35" s="3">
        <v>820</v>
      </c>
      <c r="BX35" s="3">
        <v>1126</v>
      </c>
      <c r="BY35" s="3" t="s">
        <v>153</v>
      </c>
      <c r="BZ35" s="3" t="s">
        <v>153</v>
      </c>
      <c r="CA35" s="3">
        <v>0</v>
      </c>
      <c r="CB35" s="3" t="s">
        <v>2990</v>
      </c>
      <c r="CC35" s="3" t="s">
        <v>111</v>
      </c>
      <c r="CD35" s="3" t="s">
        <v>2990</v>
      </c>
      <c r="CE35" s="3" t="s">
        <v>111</v>
      </c>
      <c r="CF35" s="3">
        <v>5022</v>
      </c>
      <c r="CI35" s="3">
        <f t="shared" ref="CI35:CI40" si="3">BQ35*BT35</f>
        <v>0.19950000000000001</v>
      </c>
      <c r="CN35" s="3" t="s">
        <v>3407</v>
      </c>
      <c r="CO35" s="3" t="s">
        <v>4707</v>
      </c>
    </row>
    <row r="36" spans="1:93" x14ac:dyDescent="0.2">
      <c r="A36" s="3" t="s">
        <v>3408</v>
      </c>
      <c r="C36" s="5" t="s">
        <v>4726</v>
      </c>
      <c r="D36" s="8">
        <v>11</v>
      </c>
      <c r="E36" s="5" t="s">
        <v>4732</v>
      </c>
      <c r="G36" s="3" t="s">
        <v>4707</v>
      </c>
      <c r="H36" s="3">
        <v>17303</v>
      </c>
      <c r="I36" s="14">
        <v>44747.633333333331</v>
      </c>
      <c r="J36" s="14">
        <v>45159.761111111111</v>
      </c>
      <c r="K36" s="3" t="s">
        <v>2986</v>
      </c>
      <c r="L36" s="3" t="s">
        <v>111</v>
      </c>
      <c r="M36" s="3" t="s">
        <v>111</v>
      </c>
      <c r="N36" s="3" t="s">
        <v>111</v>
      </c>
      <c r="O36" s="3" t="s">
        <v>112</v>
      </c>
      <c r="P36" s="3" t="s">
        <v>2165</v>
      </c>
      <c r="Q36" s="3" t="s">
        <v>2166</v>
      </c>
      <c r="R36" s="3">
        <v>36</v>
      </c>
      <c r="S36" s="3" t="s">
        <v>2167</v>
      </c>
      <c r="T36" s="3">
        <v>0.8</v>
      </c>
      <c r="U36" s="3">
        <v>1</v>
      </c>
      <c r="V36" s="3">
        <v>270</v>
      </c>
      <c r="W36" s="3">
        <v>6</v>
      </c>
      <c r="X36" s="3">
        <v>8847</v>
      </c>
      <c r="Y36" s="3">
        <v>0.1085</v>
      </c>
      <c r="Z36" s="3">
        <v>9.2100000000000001E-2</v>
      </c>
      <c r="AA36" s="3">
        <v>0.84830000000000005</v>
      </c>
      <c r="AB36" s="3" t="s">
        <v>113</v>
      </c>
      <c r="AC36" s="3" t="s">
        <v>4612</v>
      </c>
      <c r="AD36" s="3" t="s">
        <v>113</v>
      </c>
      <c r="AE36" s="3" t="s">
        <v>113</v>
      </c>
      <c r="AF36" s="3" t="s">
        <v>113</v>
      </c>
      <c r="AG36" s="3" t="s">
        <v>113</v>
      </c>
      <c r="AH36" s="3" t="s">
        <v>113</v>
      </c>
      <c r="AI36" s="3" t="s">
        <v>113</v>
      </c>
      <c r="AJ36" s="3">
        <v>823.65419999999995</v>
      </c>
      <c r="AK36" s="3" t="s">
        <v>4613</v>
      </c>
      <c r="AL36" s="3" t="s">
        <v>113</v>
      </c>
      <c r="AM36" s="3" t="s">
        <v>113</v>
      </c>
      <c r="AN36" s="3" t="s">
        <v>113</v>
      </c>
      <c r="AO36" s="3" t="s">
        <v>131</v>
      </c>
      <c r="AP36" s="3" t="s">
        <v>3470</v>
      </c>
      <c r="AQ36" s="3" t="s">
        <v>3889</v>
      </c>
      <c r="AR36" s="3" t="s">
        <v>4000</v>
      </c>
      <c r="AS36" s="3" t="s">
        <v>4614</v>
      </c>
      <c r="AT36" s="3" t="s">
        <v>4615</v>
      </c>
      <c r="AU36" s="3" t="s">
        <v>4616</v>
      </c>
      <c r="AV36" s="7">
        <v>0.14499999999999999</v>
      </c>
      <c r="AY36" s="3" t="s">
        <v>3408</v>
      </c>
      <c r="BA36" s="3" t="s">
        <v>3664</v>
      </c>
      <c r="BB36" s="3" t="s">
        <v>4617</v>
      </c>
      <c r="BC36" s="3" t="s">
        <v>3615</v>
      </c>
      <c r="BD36" s="3" t="s">
        <v>3424</v>
      </c>
      <c r="BE36" s="3" t="s">
        <v>3435</v>
      </c>
      <c r="BF36" s="3" t="s">
        <v>3515</v>
      </c>
      <c r="BG36" s="3" t="s">
        <v>3429</v>
      </c>
      <c r="BH36" s="3" t="s">
        <v>3615</v>
      </c>
      <c r="BI36" s="3" t="s">
        <v>3586</v>
      </c>
      <c r="BJ36" s="3" t="s">
        <v>4618</v>
      </c>
      <c r="BK36" s="3" t="s">
        <v>3474</v>
      </c>
      <c r="BL36" s="3" t="s">
        <v>4619</v>
      </c>
      <c r="BM36" s="3" t="s">
        <v>3657</v>
      </c>
      <c r="BN36" s="3" t="s">
        <v>3725</v>
      </c>
      <c r="BO36" s="3">
        <v>1.0500000000000001E-2</v>
      </c>
      <c r="BP36" s="3">
        <v>1.0500000000000001E-2</v>
      </c>
      <c r="BQ36" s="3">
        <v>1.0500000000000001E-2</v>
      </c>
      <c r="BR36" s="3">
        <v>132</v>
      </c>
      <c r="BS36" s="3">
        <v>132</v>
      </c>
      <c r="BT36" s="3">
        <v>13</v>
      </c>
      <c r="BU36" s="3">
        <v>1476</v>
      </c>
      <c r="BV36" s="3">
        <v>530</v>
      </c>
      <c r="BW36" s="3">
        <v>641</v>
      </c>
      <c r="BX36" s="3">
        <v>1126</v>
      </c>
      <c r="BY36" s="3" t="s">
        <v>153</v>
      </c>
      <c r="BZ36" s="3" t="s">
        <v>153</v>
      </c>
      <c r="CA36" s="3">
        <v>0</v>
      </c>
      <c r="CB36" s="3" t="s">
        <v>2990</v>
      </c>
      <c r="CC36" s="3" t="s">
        <v>111</v>
      </c>
      <c r="CD36" s="3" t="s">
        <v>2990</v>
      </c>
      <c r="CE36" s="3" t="s">
        <v>111</v>
      </c>
      <c r="CF36" s="3">
        <v>5022</v>
      </c>
      <c r="CI36" s="3">
        <f t="shared" si="3"/>
        <v>0.13650000000000001</v>
      </c>
      <c r="CN36" s="3" t="s">
        <v>3408</v>
      </c>
      <c r="CO36" s="3" t="s">
        <v>4707</v>
      </c>
    </row>
    <row r="37" spans="1:93" x14ac:dyDescent="0.2">
      <c r="A37" s="3" t="s">
        <v>3409</v>
      </c>
      <c r="C37" s="5" t="s">
        <v>4726</v>
      </c>
      <c r="D37" s="8">
        <v>11</v>
      </c>
      <c r="E37" s="5" t="s">
        <v>4732</v>
      </c>
      <c r="G37" s="3" t="s">
        <v>4707</v>
      </c>
      <c r="H37" s="3">
        <v>17303</v>
      </c>
      <c r="I37" s="14">
        <v>44747.633333333331</v>
      </c>
      <c r="J37" s="14">
        <v>45159.762499999997</v>
      </c>
      <c r="K37" s="3" t="s">
        <v>2986</v>
      </c>
      <c r="L37" s="3" t="s">
        <v>111</v>
      </c>
      <c r="M37" s="3" t="s">
        <v>111</v>
      </c>
      <c r="N37" s="3" t="s">
        <v>111</v>
      </c>
      <c r="O37" s="3" t="s">
        <v>112</v>
      </c>
      <c r="P37" s="3" t="s">
        <v>2165</v>
      </c>
      <c r="Q37" s="3" t="s">
        <v>2166</v>
      </c>
      <c r="R37" s="3">
        <v>36</v>
      </c>
      <c r="S37" s="3" t="s">
        <v>2167</v>
      </c>
      <c r="T37" s="3">
        <v>0.8</v>
      </c>
      <c r="U37" s="3">
        <v>1</v>
      </c>
      <c r="V37" s="3">
        <v>270</v>
      </c>
      <c r="W37" s="3">
        <v>6</v>
      </c>
      <c r="X37" s="3">
        <v>8847</v>
      </c>
      <c r="Y37" s="3">
        <v>0.1119</v>
      </c>
      <c r="Z37" s="3">
        <v>9.9299999999999999E-2</v>
      </c>
      <c r="AA37" s="3">
        <v>0.88770000000000004</v>
      </c>
      <c r="AB37" s="3" t="s">
        <v>113</v>
      </c>
      <c r="AC37" s="3" t="s">
        <v>3962</v>
      </c>
      <c r="AD37" s="3" t="s">
        <v>113</v>
      </c>
      <c r="AE37" s="3" t="s">
        <v>113</v>
      </c>
      <c r="AF37" s="3" t="s">
        <v>113</v>
      </c>
      <c r="AG37" s="3" t="s">
        <v>113</v>
      </c>
      <c r="AH37" s="3" t="s">
        <v>113</v>
      </c>
      <c r="AI37" s="3" t="s">
        <v>113</v>
      </c>
      <c r="AJ37" s="3">
        <v>853.31060000000002</v>
      </c>
      <c r="AK37" s="3" t="s">
        <v>4620</v>
      </c>
      <c r="AL37" s="3" t="s">
        <v>113</v>
      </c>
      <c r="AM37" s="3" t="s">
        <v>113</v>
      </c>
      <c r="AN37" s="3" t="s">
        <v>113</v>
      </c>
      <c r="AO37" s="3" t="s">
        <v>131</v>
      </c>
      <c r="AP37" s="3" t="s">
        <v>3449</v>
      </c>
      <c r="AQ37" s="3" t="s">
        <v>3738</v>
      </c>
      <c r="AR37" s="3" t="s">
        <v>3980</v>
      </c>
      <c r="AS37" s="3" t="s">
        <v>4621</v>
      </c>
      <c r="AT37" s="3" t="s">
        <v>4622</v>
      </c>
      <c r="AU37" s="3" t="s">
        <v>4623</v>
      </c>
      <c r="AV37" s="7">
        <v>0.13100000000000001</v>
      </c>
      <c r="AY37" s="3" t="s">
        <v>3409</v>
      </c>
      <c r="BA37" s="3" t="s">
        <v>4624</v>
      </c>
      <c r="BB37" s="3" t="s">
        <v>4625</v>
      </c>
      <c r="BC37" s="3" t="s">
        <v>3563</v>
      </c>
      <c r="BD37" s="3" t="s">
        <v>4344</v>
      </c>
      <c r="BE37" s="3" t="s">
        <v>3549</v>
      </c>
      <c r="BF37" s="3" t="s">
        <v>3566</v>
      </c>
      <c r="BG37" s="3" t="s">
        <v>3566</v>
      </c>
      <c r="BH37" s="3" t="s">
        <v>3563</v>
      </c>
      <c r="BI37" s="3" t="s">
        <v>4492</v>
      </c>
      <c r="BJ37" s="3" t="s">
        <v>3627</v>
      </c>
      <c r="BK37" s="3" t="s">
        <v>3497</v>
      </c>
      <c r="BL37" s="3" t="s">
        <v>4626</v>
      </c>
      <c r="BM37" s="3" t="s">
        <v>3439</v>
      </c>
      <c r="BN37" s="3" t="s">
        <v>3492</v>
      </c>
      <c r="BO37" s="3">
        <v>1.0500000000000001E-2</v>
      </c>
      <c r="BP37" s="3">
        <v>1.0500000000000001E-2</v>
      </c>
      <c r="BQ37" s="3">
        <v>1.0500000000000001E-2</v>
      </c>
      <c r="BR37" s="3">
        <v>148</v>
      </c>
      <c r="BS37" s="3">
        <v>132</v>
      </c>
      <c r="BT37" s="3">
        <v>17</v>
      </c>
      <c r="BU37" s="3">
        <v>1438</v>
      </c>
      <c r="BV37" s="3">
        <v>1089</v>
      </c>
      <c r="BW37" s="3">
        <v>636</v>
      </c>
      <c r="BX37" s="3">
        <v>1126</v>
      </c>
      <c r="BY37" s="3" t="s">
        <v>153</v>
      </c>
      <c r="BZ37" s="3" t="s">
        <v>153</v>
      </c>
      <c r="CA37" s="3">
        <v>0</v>
      </c>
      <c r="CB37" s="3" t="s">
        <v>2990</v>
      </c>
      <c r="CC37" s="3" t="s">
        <v>111</v>
      </c>
      <c r="CD37" s="3" t="s">
        <v>2990</v>
      </c>
      <c r="CE37" s="3" t="s">
        <v>111</v>
      </c>
      <c r="CF37" s="3">
        <v>5022</v>
      </c>
      <c r="CI37" s="3">
        <f t="shared" si="3"/>
        <v>0.17850000000000002</v>
      </c>
      <c r="CN37" s="3" t="s">
        <v>3409</v>
      </c>
      <c r="CO37" s="3" t="s">
        <v>4707</v>
      </c>
    </row>
    <row r="38" spans="1:93" x14ac:dyDescent="0.2">
      <c r="A38" s="3" t="s">
        <v>3410</v>
      </c>
      <c r="C38" s="5" t="s">
        <v>4727</v>
      </c>
      <c r="D38" s="8">
        <v>11</v>
      </c>
      <c r="E38" s="5" t="s">
        <v>4732</v>
      </c>
      <c r="G38" s="3" t="s">
        <v>4707</v>
      </c>
      <c r="H38" s="3">
        <v>17303</v>
      </c>
      <c r="I38" s="14">
        <v>44747.633333333331</v>
      </c>
      <c r="J38" s="14">
        <v>45159.763888888891</v>
      </c>
      <c r="K38" s="3" t="s">
        <v>2986</v>
      </c>
      <c r="L38" s="3" t="s">
        <v>111</v>
      </c>
      <c r="M38" s="3" t="s">
        <v>111</v>
      </c>
      <c r="N38" s="3" t="s">
        <v>111</v>
      </c>
      <c r="O38" s="3" t="s">
        <v>112</v>
      </c>
      <c r="P38" s="3" t="s">
        <v>2165</v>
      </c>
      <c r="Q38" s="3" t="s">
        <v>2166</v>
      </c>
      <c r="R38" s="3">
        <v>36</v>
      </c>
      <c r="S38" s="3" t="s">
        <v>2167</v>
      </c>
      <c r="T38" s="3">
        <v>0.8</v>
      </c>
      <c r="U38" s="3">
        <v>1</v>
      </c>
      <c r="V38" s="3">
        <v>270</v>
      </c>
      <c r="W38" s="3">
        <v>6</v>
      </c>
      <c r="X38" s="3">
        <v>8847</v>
      </c>
      <c r="Y38" s="3">
        <v>0.11650000000000001</v>
      </c>
      <c r="Z38" s="3">
        <v>9.8000000000000004E-2</v>
      </c>
      <c r="AA38" s="3">
        <v>0.84130000000000005</v>
      </c>
      <c r="AB38" s="3" t="s">
        <v>113</v>
      </c>
      <c r="AC38" s="3" t="s">
        <v>4627</v>
      </c>
      <c r="AD38" s="3" t="s">
        <v>113</v>
      </c>
      <c r="AE38" s="3" t="s">
        <v>113</v>
      </c>
      <c r="AF38" s="3" t="s">
        <v>113</v>
      </c>
      <c r="AG38" s="3" t="s">
        <v>113</v>
      </c>
      <c r="AH38" s="3" t="s">
        <v>113</v>
      </c>
      <c r="AI38" s="3" t="s">
        <v>113</v>
      </c>
      <c r="AJ38" s="3">
        <v>782.80420000000004</v>
      </c>
      <c r="AK38" s="3" t="s">
        <v>4628</v>
      </c>
      <c r="AL38" s="3" t="s">
        <v>113</v>
      </c>
      <c r="AM38" s="3" t="s">
        <v>113</v>
      </c>
      <c r="AN38" s="3" t="s">
        <v>113</v>
      </c>
      <c r="AO38" s="3" t="s">
        <v>131</v>
      </c>
      <c r="AP38" s="3" t="s">
        <v>4117</v>
      </c>
      <c r="AQ38" s="3" t="s">
        <v>4209</v>
      </c>
      <c r="AR38" s="3" t="s">
        <v>4629</v>
      </c>
      <c r="AS38" s="3" t="s">
        <v>4630</v>
      </c>
      <c r="AT38" s="3" t="s">
        <v>4631</v>
      </c>
      <c r="AU38" s="3" t="s">
        <v>4632</v>
      </c>
      <c r="AV38" s="7">
        <v>0.13400000000000001</v>
      </c>
      <c r="AY38" s="3" t="s">
        <v>3410</v>
      </c>
      <c r="BA38" s="3" t="s">
        <v>4483</v>
      </c>
      <c r="BB38" s="3" t="s">
        <v>4633</v>
      </c>
      <c r="BC38" s="3" t="s">
        <v>4209</v>
      </c>
      <c r="BD38" s="3" t="s">
        <v>4634</v>
      </c>
      <c r="BE38" s="3" t="s">
        <v>3648</v>
      </c>
      <c r="BF38" s="3" t="s">
        <v>3492</v>
      </c>
      <c r="BG38" s="3" t="s">
        <v>3566</v>
      </c>
      <c r="BH38" s="3" t="s">
        <v>4209</v>
      </c>
      <c r="BI38" s="3" t="s">
        <v>3757</v>
      </c>
      <c r="BJ38" s="3" t="s">
        <v>3976</v>
      </c>
      <c r="BK38" s="3" t="s">
        <v>3433</v>
      </c>
      <c r="BL38" s="3" t="s">
        <v>4635</v>
      </c>
      <c r="BM38" s="3" t="s">
        <v>4068</v>
      </c>
      <c r="BN38" s="3" t="s">
        <v>3436</v>
      </c>
      <c r="BO38" s="3">
        <v>1.0500000000000001E-2</v>
      </c>
      <c r="BP38" s="3">
        <v>1.0500000000000001E-2</v>
      </c>
      <c r="BQ38" s="3">
        <v>1.0500000000000001E-2</v>
      </c>
      <c r="BR38" s="3">
        <v>140</v>
      </c>
      <c r="BS38" s="3">
        <v>128</v>
      </c>
      <c r="BT38" s="3">
        <v>19</v>
      </c>
      <c r="BU38" s="3">
        <v>1043</v>
      </c>
      <c r="BV38" s="3">
        <v>1581</v>
      </c>
      <c r="BW38" s="3">
        <v>568</v>
      </c>
      <c r="BX38" s="3">
        <v>1126</v>
      </c>
      <c r="BY38" s="3" t="s">
        <v>153</v>
      </c>
      <c r="BZ38" s="3" t="s">
        <v>153</v>
      </c>
      <c r="CA38" s="3">
        <v>0</v>
      </c>
      <c r="CB38" s="3" t="s">
        <v>2990</v>
      </c>
      <c r="CC38" s="3" t="s">
        <v>111</v>
      </c>
      <c r="CD38" s="3" t="s">
        <v>2990</v>
      </c>
      <c r="CE38" s="3" t="s">
        <v>111</v>
      </c>
      <c r="CF38" s="3">
        <v>5022</v>
      </c>
      <c r="CI38" s="3">
        <f t="shared" si="3"/>
        <v>0.19950000000000001</v>
      </c>
      <c r="CN38" s="3" t="s">
        <v>3410</v>
      </c>
      <c r="CO38" s="3" t="s">
        <v>4707</v>
      </c>
    </row>
    <row r="39" spans="1:93" x14ac:dyDescent="0.2">
      <c r="A39" s="3" t="s">
        <v>3411</v>
      </c>
      <c r="C39" s="5" t="s">
        <v>4727</v>
      </c>
      <c r="D39" s="8">
        <v>11</v>
      </c>
      <c r="E39" s="5" t="s">
        <v>4732</v>
      </c>
      <c r="G39" s="3" t="s">
        <v>4707</v>
      </c>
      <c r="H39" s="3">
        <v>17303</v>
      </c>
      <c r="I39" s="14">
        <v>44747.633333333331</v>
      </c>
      <c r="J39" s="14">
        <v>45159.76458333333</v>
      </c>
      <c r="K39" s="3" t="s">
        <v>2986</v>
      </c>
      <c r="L39" s="3" t="s">
        <v>111</v>
      </c>
      <c r="M39" s="3" t="s">
        <v>111</v>
      </c>
      <c r="N39" s="3" t="s">
        <v>111</v>
      </c>
      <c r="O39" s="3" t="s">
        <v>112</v>
      </c>
      <c r="P39" s="3" t="s">
        <v>2165</v>
      </c>
      <c r="Q39" s="3" t="s">
        <v>2166</v>
      </c>
      <c r="R39" s="3">
        <v>36</v>
      </c>
      <c r="S39" s="3" t="s">
        <v>2167</v>
      </c>
      <c r="T39" s="3">
        <v>0.8</v>
      </c>
      <c r="U39" s="3">
        <v>1</v>
      </c>
      <c r="V39" s="3">
        <v>270</v>
      </c>
      <c r="W39" s="3">
        <v>6</v>
      </c>
      <c r="X39" s="3">
        <v>8847</v>
      </c>
      <c r="Y39" s="3">
        <v>0.12839999999999999</v>
      </c>
      <c r="Z39" s="3">
        <v>0.1183</v>
      </c>
      <c r="AA39" s="3">
        <v>0.9214</v>
      </c>
      <c r="AB39" s="3" t="s">
        <v>113</v>
      </c>
      <c r="AC39" s="3" t="s">
        <v>4636</v>
      </c>
      <c r="AD39" s="3" t="s">
        <v>113</v>
      </c>
      <c r="AE39" s="3" t="s">
        <v>113</v>
      </c>
      <c r="AF39" s="3" t="s">
        <v>113</v>
      </c>
      <c r="AG39" s="3" t="s">
        <v>113</v>
      </c>
      <c r="AH39" s="3" t="s">
        <v>113</v>
      </c>
      <c r="AI39" s="3" t="s">
        <v>113</v>
      </c>
      <c r="AJ39" s="3">
        <v>903.10130000000004</v>
      </c>
      <c r="AK39" s="3" t="s">
        <v>4637</v>
      </c>
      <c r="AL39" s="3" t="s">
        <v>113</v>
      </c>
      <c r="AM39" s="3" t="s">
        <v>113</v>
      </c>
      <c r="AN39" s="3" t="s">
        <v>113</v>
      </c>
      <c r="AO39" s="3" t="s">
        <v>131</v>
      </c>
      <c r="AP39" s="3" t="s">
        <v>4031</v>
      </c>
      <c r="AQ39" s="3" t="s">
        <v>4553</v>
      </c>
      <c r="AR39" s="3" t="s">
        <v>4159</v>
      </c>
      <c r="AS39" s="3" t="s">
        <v>3777</v>
      </c>
      <c r="AT39" s="3" t="s">
        <v>4638</v>
      </c>
      <c r="AU39" s="3" t="s">
        <v>4639</v>
      </c>
      <c r="AV39" s="7">
        <v>0.155</v>
      </c>
      <c r="AY39" s="3" t="s">
        <v>3411</v>
      </c>
      <c r="BA39" s="3" t="s">
        <v>4039</v>
      </c>
      <c r="BB39" s="3" t="s">
        <v>4640</v>
      </c>
      <c r="BC39" s="3" t="s">
        <v>3615</v>
      </c>
      <c r="BD39" s="3" t="s">
        <v>4341</v>
      </c>
      <c r="BE39" s="3" t="s">
        <v>3522</v>
      </c>
      <c r="BF39" s="3" t="s">
        <v>3566</v>
      </c>
      <c r="BG39" s="3" t="s">
        <v>3566</v>
      </c>
      <c r="BH39" s="3" t="s">
        <v>3615</v>
      </c>
      <c r="BI39" s="3" t="s">
        <v>4519</v>
      </c>
      <c r="BJ39" s="3" t="s">
        <v>4423</v>
      </c>
      <c r="BK39" s="3" t="s">
        <v>3515</v>
      </c>
      <c r="BL39" s="3" t="s">
        <v>4424</v>
      </c>
      <c r="BM39" s="3" t="s">
        <v>3786</v>
      </c>
      <c r="BN39" s="3" t="s">
        <v>3497</v>
      </c>
      <c r="BO39" s="3">
        <v>1.0500000000000001E-2</v>
      </c>
      <c r="BP39" s="3">
        <v>1.0500000000000001E-2</v>
      </c>
      <c r="BQ39" s="3">
        <v>1.0500000000000001E-2</v>
      </c>
      <c r="BR39" s="3">
        <v>172</v>
      </c>
      <c r="BS39" s="3">
        <v>116</v>
      </c>
      <c r="BT39" s="3">
        <v>19</v>
      </c>
      <c r="BU39" s="3">
        <v>631</v>
      </c>
      <c r="BV39" s="3">
        <v>1593</v>
      </c>
      <c r="BW39" s="3">
        <v>814</v>
      </c>
      <c r="BX39" s="3">
        <v>1126</v>
      </c>
      <c r="BY39" s="3" t="s">
        <v>153</v>
      </c>
      <c r="BZ39" s="3" t="s">
        <v>153</v>
      </c>
      <c r="CA39" s="3">
        <v>0</v>
      </c>
      <c r="CB39" s="3" t="s">
        <v>2990</v>
      </c>
      <c r="CC39" s="3" t="s">
        <v>111</v>
      </c>
      <c r="CD39" s="3" t="s">
        <v>2990</v>
      </c>
      <c r="CE39" s="3" t="s">
        <v>111</v>
      </c>
      <c r="CF39" s="3">
        <v>5022</v>
      </c>
      <c r="CI39" s="3">
        <f t="shared" si="3"/>
        <v>0.19950000000000001</v>
      </c>
      <c r="CN39" s="3" t="s">
        <v>3411</v>
      </c>
      <c r="CO39" s="3" t="s">
        <v>4707</v>
      </c>
    </row>
    <row r="40" spans="1:93" x14ac:dyDescent="0.2">
      <c r="A40" s="3" t="s">
        <v>3412</v>
      </c>
      <c r="C40" s="5" t="s">
        <v>4727</v>
      </c>
      <c r="D40" s="8">
        <v>11</v>
      </c>
      <c r="E40" s="5" t="s">
        <v>4732</v>
      </c>
      <c r="G40" s="3" t="s">
        <v>4707</v>
      </c>
      <c r="H40" s="3">
        <v>17303</v>
      </c>
      <c r="I40" s="14">
        <v>44747.633333333331</v>
      </c>
      <c r="J40" s="14">
        <v>45159.765277777777</v>
      </c>
      <c r="K40" s="3" t="s">
        <v>2986</v>
      </c>
      <c r="L40" s="3" t="s">
        <v>111</v>
      </c>
      <c r="M40" s="3" t="s">
        <v>111</v>
      </c>
      <c r="N40" s="3" t="s">
        <v>111</v>
      </c>
      <c r="O40" s="3" t="s">
        <v>112</v>
      </c>
      <c r="P40" s="3" t="s">
        <v>2165</v>
      </c>
      <c r="Q40" s="3" t="s">
        <v>2166</v>
      </c>
      <c r="R40" s="3">
        <v>36</v>
      </c>
      <c r="S40" s="3" t="s">
        <v>2167</v>
      </c>
      <c r="T40" s="3">
        <v>0.8</v>
      </c>
      <c r="U40" s="3">
        <v>1</v>
      </c>
      <c r="V40" s="3">
        <v>270</v>
      </c>
      <c r="W40" s="3">
        <v>6</v>
      </c>
      <c r="X40" s="3">
        <v>8847</v>
      </c>
      <c r="Y40" s="3">
        <v>8.1500000000000003E-2</v>
      </c>
      <c r="Z40" s="3">
        <v>7.0599999999999996E-2</v>
      </c>
      <c r="AA40" s="3">
        <v>0.86670000000000003</v>
      </c>
      <c r="AB40" s="3" t="s">
        <v>113</v>
      </c>
      <c r="AC40" s="3" t="s">
        <v>4641</v>
      </c>
      <c r="AD40" s="3" t="s">
        <v>113</v>
      </c>
      <c r="AE40" s="3" t="s">
        <v>113</v>
      </c>
      <c r="AF40" s="3" t="s">
        <v>113</v>
      </c>
      <c r="AG40" s="3" t="s">
        <v>113</v>
      </c>
      <c r="AH40" s="3" t="s">
        <v>113</v>
      </c>
      <c r="AI40" s="3" t="s">
        <v>113</v>
      </c>
      <c r="AJ40" s="3">
        <v>825.47149999999999</v>
      </c>
      <c r="AK40" s="3" t="s">
        <v>4642</v>
      </c>
      <c r="AL40" s="3" t="s">
        <v>113</v>
      </c>
      <c r="AM40" s="3" t="s">
        <v>113</v>
      </c>
      <c r="AN40" s="3" t="s">
        <v>113</v>
      </c>
      <c r="AO40" s="3" t="s">
        <v>131</v>
      </c>
      <c r="AP40" s="3" t="s">
        <v>3741</v>
      </c>
      <c r="AQ40" s="3" t="s">
        <v>3599</v>
      </c>
      <c r="AR40" s="3" t="s">
        <v>3616</v>
      </c>
      <c r="AS40" s="3" t="s">
        <v>4643</v>
      </c>
      <c r="AT40" s="3" t="s">
        <v>4644</v>
      </c>
      <c r="AU40" s="3" t="s">
        <v>4645</v>
      </c>
      <c r="AV40" s="7">
        <v>0.14799999999999999</v>
      </c>
      <c r="AY40" s="3" t="s">
        <v>3412</v>
      </c>
      <c r="BA40" s="3" t="s">
        <v>4646</v>
      </c>
      <c r="BB40" s="3" t="s">
        <v>4647</v>
      </c>
      <c r="BC40" s="3" t="s">
        <v>4278</v>
      </c>
      <c r="BD40" s="3" t="s">
        <v>4305</v>
      </c>
      <c r="BE40" s="3" t="s">
        <v>4600</v>
      </c>
      <c r="BF40" s="3" t="s">
        <v>3430</v>
      </c>
      <c r="BG40" s="3" t="s">
        <v>3584</v>
      </c>
      <c r="BH40" s="3" t="s">
        <v>4278</v>
      </c>
      <c r="BI40" s="3" t="s">
        <v>4305</v>
      </c>
      <c r="BJ40" s="3" t="s">
        <v>3532</v>
      </c>
      <c r="BK40" s="3" t="s">
        <v>3745</v>
      </c>
      <c r="BL40" s="3" t="s">
        <v>3584</v>
      </c>
      <c r="BM40" s="3" t="s">
        <v>4600</v>
      </c>
      <c r="BN40" s="3" t="s">
        <v>4531</v>
      </c>
      <c r="BO40" s="3">
        <v>1.0500000000000001E-2</v>
      </c>
      <c r="BP40" s="3">
        <v>1.0500000000000001E-2</v>
      </c>
      <c r="BQ40" s="3">
        <v>1.0500000000000001E-2</v>
      </c>
      <c r="BR40" s="3">
        <v>116</v>
      </c>
      <c r="BS40" s="3">
        <v>116</v>
      </c>
      <c r="BT40" s="3">
        <v>21</v>
      </c>
      <c r="BU40" s="3">
        <v>239</v>
      </c>
      <c r="BV40" s="3">
        <v>1181</v>
      </c>
      <c r="BW40" s="3">
        <v>416</v>
      </c>
      <c r="BX40" s="3">
        <v>1126</v>
      </c>
      <c r="BY40" s="3" t="s">
        <v>153</v>
      </c>
      <c r="BZ40" s="3" t="s">
        <v>153</v>
      </c>
      <c r="CA40" s="3">
        <v>0</v>
      </c>
      <c r="CB40" s="3" t="s">
        <v>2990</v>
      </c>
      <c r="CC40" s="3" t="s">
        <v>111</v>
      </c>
      <c r="CD40" s="3" t="s">
        <v>2990</v>
      </c>
      <c r="CE40" s="3" t="s">
        <v>111</v>
      </c>
      <c r="CF40" s="3">
        <v>5022</v>
      </c>
      <c r="CI40" s="3">
        <f t="shared" si="3"/>
        <v>0.2205</v>
      </c>
      <c r="CN40" s="3" t="s">
        <v>3412</v>
      </c>
      <c r="CO40" s="3" t="s">
        <v>4707</v>
      </c>
    </row>
    <row r="41" spans="1:93" x14ac:dyDescent="0.2">
      <c r="C41" s="8"/>
      <c r="D41" s="8"/>
    </row>
    <row r="42" spans="1:93" ht="16" x14ac:dyDescent="0.2">
      <c r="C42" s="4"/>
      <c r="D42" s="4"/>
    </row>
    <row r="43" spans="1:93" x14ac:dyDescent="0.2">
      <c r="A43" s="3" t="s">
        <v>3395</v>
      </c>
      <c r="C43" s="5" t="s">
        <v>4726</v>
      </c>
      <c r="D43" s="8">
        <v>11</v>
      </c>
      <c r="E43" s="5" t="s">
        <v>4733</v>
      </c>
      <c r="G43" s="3" t="s">
        <v>4707</v>
      </c>
      <c r="H43" s="3">
        <v>17301</v>
      </c>
      <c r="I43" s="14">
        <v>44747.459027777775</v>
      </c>
      <c r="J43" s="14">
        <v>45156.649305555555</v>
      </c>
      <c r="K43" s="3" t="s">
        <v>2164</v>
      </c>
      <c r="L43" s="3" t="s">
        <v>111</v>
      </c>
      <c r="M43" s="3" t="s">
        <v>111</v>
      </c>
      <c r="N43" s="3" t="s">
        <v>111</v>
      </c>
      <c r="O43" s="3" t="s">
        <v>112</v>
      </c>
      <c r="P43" s="3" t="s">
        <v>2165</v>
      </c>
      <c r="Q43" s="3" t="s">
        <v>2166</v>
      </c>
      <c r="R43" s="3">
        <v>36</v>
      </c>
      <c r="S43" s="3" t="s">
        <v>2167</v>
      </c>
      <c r="T43" s="3">
        <v>0.8</v>
      </c>
      <c r="U43" s="3">
        <v>1</v>
      </c>
      <c r="V43" s="3">
        <v>270</v>
      </c>
      <c r="W43" s="3">
        <v>6</v>
      </c>
      <c r="X43" s="3">
        <v>8847</v>
      </c>
      <c r="Y43" s="3">
        <v>0.21870000000000001</v>
      </c>
      <c r="Z43" s="3">
        <v>0.18029999999999999</v>
      </c>
      <c r="AA43" s="3">
        <v>0.82430000000000003</v>
      </c>
      <c r="AB43" s="3" t="s">
        <v>113</v>
      </c>
      <c r="AC43" s="3" t="s">
        <v>4364</v>
      </c>
      <c r="AD43" s="3" t="s">
        <v>113</v>
      </c>
      <c r="AE43" s="3" t="s">
        <v>113</v>
      </c>
      <c r="AF43" s="3" t="s">
        <v>113</v>
      </c>
      <c r="AG43" s="3" t="s">
        <v>113</v>
      </c>
      <c r="AH43" s="3" t="s">
        <v>113</v>
      </c>
      <c r="AI43" s="3" t="s">
        <v>113</v>
      </c>
      <c r="AJ43" s="3">
        <v>885.94709999999998</v>
      </c>
      <c r="AK43" s="3" t="s">
        <v>4365</v>
      </c>
      <c r="AL43" s="3" t="s">
        <v>113</v>
      </c>
      <c r="AM43" s="3" t="s">
        <v>113</v>
      </c>
      <c r="AN43" s="3" t="s">
        <v>113</v>
      </c>
      <c r="AO43" s="3" t="s">
        <v>131</v>
      </c>
      <c r="AP43" s="3" t="s">
        <v>4366</v>
      </c>
      <c r="AQ43" s="3" t="s">
        <v>3565</v>
      </c>
      <c r="AR43" s="3" t="s">
        <v>3952</v>
      </c>
      <c r="AS43" s="3" t="s">
        <v>4367</v>
      </c>
      <c r="AT43" s="3" t="s">
        <v>4368</v>
      </c>
      <c r="AU43" s="3" t="s">
        <v>4218</v>
      </c>
      <c r="AV43" s="7">
        <v>0.156</v>
      </c>
      <c r="AY43" s="3" t="s">
        <v>3395</v>
      </c>
      <c r="BA43" s="3" t="s">
        <v>4369</v>
      </c>
      <c r="BB43" s="3" t="s">
        <v>4370</v>
      </c>
      <c r="BC43" s="3" t="s">
        <v>3704</v>
      </c>
      <c r="BD43" s="3" t="s">
        <v>3851</v>
      </c>
      <c r="BE43" s="3" t="s">
        <v>3748</v>
      </c>
      <c r="BF43" s="3" t="s">
        <v>3584</v>
      </c>
      <c r="BG43" s="3" t="s">
        <v>3903</v>
      </c>
      <c r="BH43" s="3" t="s">
        <v>3704</v>
      </c>
      <c r="BI43" s="3" t="s">
        <v>4371</v>
      </c>
      <c r="BJ43" s="3" t="s">
        <v>4212</v>
      </c>
      <c r="BK43" s="3" t="s">
        <v>3707</v>
      </c>
      <c r="BL43" s="3" t="s">
        <v>4061</v>
      </c>
      <c r="BM43" s="3" t="s">
        <v>4097</v>
      </c>
      <c r="BN43" s="3" t="s">
        <v>3537</v>
      </c>
      <c r="BO43" s="3">
        <v>1.0500000000000001E-2</v>
      </c>
      <c r="BP43" s="3">
        <v>1.0500000000000001E-2</v>
      </c>
      <c r="BQ43" s="3">
        <v>1.0500000000000001E-2</v>
      </c>
      <c r="BR43" s="3">
        <v>172</v>
      </c>
      <c r="BS43" s="3">
        <v>164</v>
      </c>
      <c r="BT43" s="3">
        <v>22</v>
      </c>
      <c r="BU43" s="3">
        <v>687</v>
      </c>
      <c r="BV43" s="3">
        <v>1584</v>
      </c>
      <c r="BW43" s="3">
        <v>792</v>
      </c>
      <c r="BX43" s="3">
        <v>1126</v>
      </c>
      <c r="BY43" s="3" t="s">
        <v>153</v>
      </c>
      <c r="BZ43" s="3" t="s">
        <v>153</v>
      </c>
      <c r="CA43" s="3">
        <v>0</v>
      </c>
      <c r="CB43" s="3" t="s">
        <v>2171</v>
      </c>
      <c r="CC43" s="3" t="s">
        <v>111</v>
      </c>
      <c r="CD43" s="3" t="s">
        <v>2171</v>
      </c>
      <c r="CE43" s="3" t="s">
        <v>111</v>
      </c>
      <c r="CF43" s="3">
        <v>5022</v>
      </c>
      <c r="CI43" s="3">
        <f t="shared" ref="CI43:CI48" si="4">BQ43*BT43</f>
        <v>0.23100000000000001</v>
      </c>
      <c r="CN43" s="3" t="s">
        <v>3395</v>
      </c>
      <c r="CO43" s="3" t="s">
        <v>4707</v>
      </c>
    </row>
    <row r="44" spans="1:93" x14ac:dyDescent="0.2">
      <c r="A44" s="3" t="s">
        <v>3396</v>
      </c>
      <c r="C44" s="5" t="s">
        <v>4726</v>
      </c>
      <c r="D44" s="8">
        <v>11</v>
      </c>
      <c r="E44" s="5" t="s">
        <v>4733</v>
      </c>
      <c r="G44" s="3" t="s">
        <v>4707</v>
      </c>
      <c r="H44" s="3">
        <v>17301</v>
      </c>
      <c r="I44" s="14">
        <v>44747.459027777775</v>
      </c>
      <c r="J44" s="14">
        <v>45156.650694444441</v>
      </c>
      <c r="K44" s="3" t="s">
        <v>2164</v>
      </c>
      <c r="L44" s="3" t="s">
        <v>111</v>
      </c>
      <c r="M44" s="3" t="s">
        <v>111</v>
      </c>
      <c r="N44" s="3" t="s">
        <v>111</v>
      </c>
      <c r="O44" s="3" t="s">
        <v>112</v>
      </c>
      <c r="P44" s="3" t="s">
        <v>2165</v>
      </c>
      <c r="Q44" s="3" t="s">
        <v>2166</v>
      </c>
      <c r="R44" s="3">
        <v>36</v>
      </c>
      <c r="S44" s="3" t="s">
        <v>2167</v>
      </c>
      <c r="T44" s="3">
        <v>0.8</v>
      </c>
      <c r="U44" s="3">
        <v>1</v>
      </c>
      <c r="V44" s="3">
        <v>270</v>
      </c>
      <c r="W44" s="3">
        <v>6</v>
      </c>
      <c r="X44" s="3">
        <v>8847</v>
      </c>
      <c r="Y44" s="3">
        <v>0.17469999999999999</v>
      </c>
      <c r="Z44" s="3">
        <v>0.13619999999999999</v>
      </c>
      <c r="AA44" s="3">
        <v>0.77939999999999998</v>
      </c>
      <c r="AB44" s="3" t="s">
        <v>113</v>
      </c>
      <c r="AC44" s="3" t="s">
        <v>4372</v>
      </c>
      <c r="AD44" s="3" t="s">
        <v>113</v>
      </c>
      <c r="AE44" s="3" t="s">
        <v>113</v>
      </c>
      <c r="AF44" s="3" t="s">
        <v>113</v>
      </c>
      <c r="AG44" s="3" t="s">
        <v>113</v>
      </c>
      <c r="AH44" s="3" t="s">
        <v>113</v>
      </c>
      <c r="AI44" s="3" t="s">
        <v>113</v>
      </c>
      <c r="AJ44" s="3">
        <v>734.17660000000001</v>
      </c>
      <c r="AK44" s="3" t="s">
        <v>4373</v>
      </c>
      <c r="AL44" s="3" t="s">
        <v>113</v>
      </c>
      <c r="AM44" s="3" t="s">
        <v>113</v>
      </c>
      <c r="AN44" s="3" t="s">
        <v>113</v>
      </c>
      <c r="AO44" s="3" t="s">
        <v>131</v>
      </c>
      <c r="AP44" s="3" t="s">
        <v>4374</v>
      </c>
      <c r="AQ44" s="3" t="s">
        <v>3465</v>
      </c>
      <c r="AR44" s="3" t="s">
        <v>3588</v>
      </c>
      <c r="AS44" s="3" t="s">
        <v>4375</v>
      </c>
      <c r="AT44" s="3" t="s">
        <v>4376</v>
      </c>
      <c r="AU44" s="3" t="s">
        <v>4377</v>
      </c>
      <c r="AV44" s="7">
        <v>0.13900000000000001</v>
      </c>
      <c r="AY44" s="3" t="s">
        <v>3396</v>
      </c>
      <c r="BA44" s="3" t="s">
        <v>4378</v>
      </c>
      <c r="BB44" s="3" t="s">
        <v>3488</v>
      </c>
      <c r="BC44" s="3" t="s">
        <v>3779</v>
      </c>
      <c r="BD44" s="3" t="s">
        <v>4379</v>
      </c>
      <c r="BE44" s="3" t="s">
        <v>3786</v>
      </c>
      <c r="BF44" s="3" t="s">
        <v>3429</v>
      </c>
      <c r="BG44" s="3" t="s">
        <v>3566</v>
      </c>
      <c r="BH44" s="3" t="s">
        <v>3779</v>
      </c>
      <c r="BI44" s="3" t="s">
        <v>4070</v>
      </c>
      <c r="BJ44" s="3" t="s">
        <v>4051</v>
      </c>
      <c r="BK44" s="3" t="s">
        <v>3433</v>
      </c>
      <c r="BL44" s="3" t="s">
        <v>4380</v>
      </c>
      <c r="BM44" s="3" t="s">
        <v>4381</v>
      </c>
      <c r="BN44" s="3" t="s">
        <v>3492</v>
      </c>
      <c r="BO44" s="3">
        <v>1.0500000000000001E-2</v>
      </c>
      <c r="BP44" s="3">
        <v>1.0500000000000001E-2</v>
      </c>
      <c r="BQ44" s="3">
        <v>1.0500000000000001E-2</v>
      </c>
      <c r="BR44" s="3">
        <v>144</v>
      </c>
      <c r="BS44" s="3">
        <v>172</v>
      </c>
      <c r="BT44" s="3">
        <v>20</v>
      </c>
      <c r="BU44" s="3">
        <v>157</v>
      </c>
      <c r="BV44" s="3">
        <v>1285</v>
      </c>
      <c r="BW44" s="3">
        <v>313</v>
      </c>
      <c r="BX44" s="3">
        <v>1126</v>
      </c>
      <c r="BY44" s="3" t="s">
        <v>153</v>
      </c>
      <c r="BZ44" s="3" t="s">
        <v>153</v>
      </c>
      <c r="CA44" s="3">
        <v>0</v>
      </c>
      <c r="CB44" s="3" t="s">
        <v>2171</v>
      </c>
      <c r="CC44" s="3" t="s">
        <v>111</v>
      </c>
      <c r="CD44" s="3" t="s">
        <v>2171</v>
      </c>
      <c r="CE44" s="3" t="s">
        <v>111</v>
      </c>
      <c r="CF44" s="3">
        <v>5022</v>
      </c>
      <c r="CI44" s="3">
        <f t="shared" si="4"/>
        <v>0.21000000000000002</v>
      </c>
      <c r="CN44" s="3" t="s">
        <v>3396</v>
      </c>
      <c r="CO44" s="3" t="s">
        <v>4707</v>
      </c>
    </row>
    <row r="45" spans="1:93" x14ac:dyDescent="0.2">
      <c r="A45" s="3" t="s">
        <v>3397</v>
      </c>
      <c r="C45" s="5" t="s">
        <v>4726</v>
      </c>
      <c r="D45" s="8">
        <v>11</v>
      </c>
      <c r="E45" s="5" t="s">
        <v>4733</v>
      </c>
      <c r="G45" s="3" t="s">
        <v>4707</v>
      </c>
      <c r="H45" s="3">
        <v>17302</v>
      </c>
      <c r="I45" s="14">
        <v>44747.53125</v>
      </c>
      <c r="J45" s="14">
        <v>45159.520138888889</v>
      </c>
      <c r="K45" s="3" t="s">
        <v>2591</v>
      </c>
      <c r="L45" s="3" t="s">
        <v>111</v>
      </c>
      <c r="M45" s="3" t="s">
        <v>111</v>
      </c>
      <c r="N45" s="3" t="s">
        <v>111</v>
      </c>
      <c r="O45" s="3" t="s">
        <v>112</v>
      </c>
      <c r="P45" s="3" t="s">
        <v>2165</v>
      </c>
      <c r="Q45" s="3" t="s">
        <v>2166</v>
      </c>
      <c r="R45" s="3">
        <v>36</v>
      </c>
      <c r="S45" s="3" t="s">
        <v>2167</v>
      </c>
      <c r="T45" s="3">
        <v>0.8</v>
      </c>
      <c r="U45" s="3">
        <v>1</v>
      </c>
      <c r="V45" s="3">
        <v>270</v>
      </c>
      <c r="W45" s="3">
        <v>6</v>
      </c>
      <c r="X45" s="3">
        <v>8847</v>
      </c>
      <c r="Y45" s="3">
        <v>0.20039999999999999</v>
      </c>
      <c r="Z45" s="3">
        <v>0.1724</v>
      </c>
      <c r="AA45" s="3">
        <v>0.86070000000000002</v>
      </c>
      <c r="AB45" s="3" t="s">
        <v>113</v>
      </c>
      <c r="AC45" s="3" t="s">
        <v>4451</v>
      </c>
      <c r="AD45" s="3" t="s">
        <v>113</v>
      </c>
      <c r="AE45" s="3" t="s">
        <v>113</v>
      </c>
      <c r="AF45" s="3" t="s">
        <v>113</v>
      </c>
      <c r="AG45" s="3" t="s">
        <v>113</v>
      </c>
      <c r="AH45" s="3" t="s">
        <v>113</v>
      </c>
      <c r="AI45" s="3" t="s">
        <v>113</v>
      </c>
      <c r="AJ45" s="3">
        <v>896.34140000000002</v>
      </c>
      <c r="AK45" s="3" t="s">
        <v>4452</v>
      </c>
      <c r="AL45" s="3" t="s">
        <v>113</v>
      </c>
      <c r="AM45" s="3" t="s">
        <v>113</v>
      </c>
      <c r="AN45" s="3" t="s">
        <v>113</v>
      </c>
      <c r="AO45" s="3" t="s">
        <v>131</v>
      </c>
      <c r="AP45" s="3" t="s">
        <v>4453</v>
      </c>
      <c r="AQ45" s="3" t="s">
        <v>4359</v>
      </c>
      <c r="AR45" s="3" t="s">
        <v>3798</v>
      </c>
      <c r="AS45" s="3" t="s">
        <v>4454</v>
      </c>
      <c r="AT45" s="3" t="s">
        <v>4455</v>
      </c>
      <c r="AU45" s="3" t="s">
        <v>4456</v>
      </c>
      <c r="AV45" s="7">
        <v>0.14699999999999999</v>
      </c>
      <c r="AY45" s="3" t="s">
        <v>3397</v>
      </c>
      <c r="BA45" s="3" t="s">
        <v>3823</v>
      </c>
      <c r="BB45" s="3" t="s">
        <v>4457</v>
      </c>
      <c r="BC45" s="3" t="s">
        <v>3541</v>
      </c>
      <c r="BD45" s="3" t="s">
        <v>3661</v>
      </c>
      <c r="BE45" s="3" t="s">
        <v>3567</v>
      </c>
      <c r="BF45" s="3" t="s">
        <v>3584</v>
      </c>
      <c r="BG45" s="3" t="s">
        <v>3566</v>
      </c>
      <c r="BH45" s="3" t="s">
        <v>3541</v>
      </c>
      <c r="BI45" s="3" t="s">
        <v>4183</v>
      </c>
      <c r="BJ45" s="3" t="s">
        <v>4458</v>
      </c>
      <c r="BK45" s="3" t="s">
        <v>4421</v>
      </c>
      <c r="BL45" s="3" t="s">
        <v>4421</v>
      </c>
      <c r="BM45" s="3" t="s">
        <v>4405</v>
      </c>
      <c r="BN45" s="3" t="s">
        <v>3429</v>
      </c>
      <c r="BO45" s="3">
        <v>1.0500000000000001E-2</v>
      </c>
      <c r="BP45" s="3">
        <v>1.0500000000000001E-2</v>
      </c>
      <c r="BQ45" s="3">
        <v>1.0500000000000001E-2</v>
      </c>
      <c r="BR45" s="3">
        <v>172</v>
      </c>
      <c r="BS45" s="3">
        <v>144</v>
      </c>
      <c r="BT45" s="3">
        <v>23</v>
      </c>
      <c r="BU45" s="3">
        <v>162</v>
      </c>
      <c r="BV45" s="3">
        <v>571</v>
      </c>
      <c r="BW45" s="3">
        <v>1256</v>
      </c>
      <c r="BX45" s="3">
        <v>1685</v>
      </c>
      <c r="BY45" s="3" t="s">
        <v>153</v>
      </c>
      <c r="BZ45" s="3" t="s">
        <v>153</v>
      </c>
      <c r="CA45" s="3">
        <v>0</v>
      </c>
      <c r="CB45" s="3" t="s">
        <v>2593</v>
      </c>
      <c r="CC45" s="3" t="s">
        <v>111</v>
      </c>
      <c r="CD45" s="3" t="s">
        <v>2593</v>
      </c>
      <c r="CE45" s="3" t="s">
        <v>111</v>
      </c>
      <c r="CF45" s="3">
        <v>5022</v>
      </c>
      <c r="CI45" s="3">
        <f t="shared" si="4"/>
        <v>0.24150000000000002</v>
      </c>
      <c r="CN45" s="3" t="s">
        <v>3397</v>
      </c>
      <c r="CO45" s="3" t="s">
        <v>4707</v>
      </c>
    </row>
    <row r="46" spans="1:93" x14ac:dyDescent="0.2">
      <c r="A46" s="3" t="s">
        <v>3398</v>
      </c>
      <c r="C46" s="5" t="s">
        <v>4727</v>
      </c>
      <c r="D46" s="8">
        <v>11</v>
      </c>
      <c r="E46" s="5" t="s">
        <v>4733</v>
      </c>
      <c r="G46" s="3" t="s">
        <v>4707</v>
      </c>
      <c r="H46" s="3">
        <v>17302</v>
      </c>
      <c r="I46" s="14">
        <v>44747.53125</v>
      </c>
      <c r="J46" s="14">
        <v>45159.521527777775</v>
      </c>
      <c r="K46" s="3" t="s">
        <v>2591</v>
      </c>
      <c r="L46" s="3" t="s">
        <v>111</v>
      </c>
      <c r="M46" s="3" t="s">
        <v>111</v>
      </c>
      <c r="N46" s="3" t="s">
        <v>111</v>
      </c>
      <c r="O46" s="3" t="s">
        <v>112</v>
      </c>
      <c r="P46" s="3" t="s">
        <v>2165</v>
      </c>
      <c r="Q46" s="3" t="s">
        <v>2166</v>
      </c>
      <c r="R46" s="3">
        <v>36</v>
      </c>
      <c r="S46" s="3" t="s">
        <v>2167</v>
      </c>
      <c r="T46" s="3">
        <v>0.8</v>
      </c>
      <c r="U46" s="3">
        <v>1</v>
      </c>
      <c r="V46" s="3">
        <v>270</v>
      </c>
      <c r="W46" s="3">
        <v>6</v>
      </c>
      <c r="X46" s="3">
        <v>8847</v>
      </c>
      <c r="Y46" s="3">
        <v>0.11</v>
      </c>
      <c r="Z46" s="3">
        <v>9.7000000000000003E-2</v>
      </c>
      <c r="AA46" s="3">
        <v>0.88139999999999996</v>
      </c>
      <c r="AB46" s="3" t="s">
        <v>113</v>
      </c>
      <c r="AC46" s="3" t="s">
        <v>4459</v>
      </c>
      <c r="AD46" s="3" t="s">
        <v>113</v>
      </c>
      <c r="AE46" s="3" t="s">
        <v>113</v>
      </c>
      <c r="AF46" s="3" t="s">
        <v>113</v>
      </c>
      <c r="AG46" s="3" t="s">
        <v>113</v>
      </c>
      <c r="AH46" s="3" t="s">
        <v>113</v>
      </c>
      <c r="AI46" s="3" t="s">
        <v>113</v>
      </c>
      <c r="AJ46" s="3">
        <v>869.88319999999999</v>
      </c>
      <c r="AK46" s="3" t="s">
        <v>4460</v>
      </c>
      <c r="AL46" s="3" t="s">
        <v>113</v>
      </c>
      <c r="AM46" s="3" t="s">
        <v>113</v>
      </c>
      <c r="AN46" s="3" t="s">
        <v>113</v>
      </c>
      <c r="AO46" s="3" t="s">
        <v>131</v>
      </c>
      <c r="AP46" s="3" t="s">
        <v>4333</v>
      </c>
      <c r="AQ46" s="3" t="s">
        <v>4209</v>
      </c>
      <c r="AR46" s="3" t="s">
        <v>3679</v>
      </c>
      <c r="AS46" s="3" t="s">
        <v>4461</v>
      </c>
      <c r="AT46" s="3" t="s">
        <v>4462</v>
      </c>
      <c r="AU46" s="3" t="s">
        <v>4463</v>
      </c>
      <c r="AV46" s="7">
        <v>0.14299999999999999</v>
      </c>
      <c r="AY46" s="3" t="s">
        <v>3398</v>
      </c>
      <c r="BA46" s="3" t="s">
        <v>4464</v>
      </c>
      <c r="BB46" s="3" t="s">
        <v>4465</v>
      </c>
      <c r="BC46" s="3" t="s">
        <v>3900</v>
      </c>
      <c r="BD46" s="3" t="s">
        <v>3861</v>
      </c>
      <c r="BE46" s="3" t="s">
        <v>4077</v>
      </c>
      <c r="BF46" s="3" t="s">
        <v>3492</v>
      </c>
      <c r="BG46" s="3" t="s">
        <v>3430</v>
      </c>
      <c r="BH46" s="3" t="s">
        <v>3900</v>
      </c>
      <c r="BI46" s="3" t="s">
        <v>3566</v>
      </c>
      <c r="BJ46" s="3" t="s">
        <v>3861</v>
      </c>
      <c r="BK46" s="3" t="s">
        <v>3745</v>
      </c>
      <c r="BL46" s="3" t="s">
        <v>4466</v>
      </c>
      <c r="BM46" s="3" t="s">
        <v>3566</v>
      </c>
      <c r="BN46" s="3" t="s">
        <v>3745</v>
      </c>
      <c r="BO46" s="3">
        <v>1.0500000000000001E-2</v>
      </c>
      <c r="BP46" s="3">
        <v>1.0500000000000001E-2</v>
      </c>
      <c r="BQ46" s="3">
        <v>1.0500000000000001E-2</v>
      </c>
      <c r="BR46" s="3">
        <v>116</v>
      </c>
      <c r="BS46" s="3">
        <v>140</v>
      </c>
      <c r="BT46" s="3">
        <v>22</v>
      </c>
      <c r="BU46" s="3">
        <v>444</v>
      </c>
      <c r="BV46" s="3">
        <v>378</v>
      </c>
      <c r="BW46" s="3">
        <v>954</v>
      </c>
      <c r="BX46" s="3">
        <v>1685</v>
      </c>
      <c r="BY46" s="3" t="s">
        <v>153</v>
      </c>
      <c r="BZ46" s="3" t="s">
        <v>153</v>
      </c>
      <c r="CA46" s="3">
        <v>0</v>
      </c>
      <c r="CB46" s="3" t="s">
        <v>2593</v>
      </c>
      <c r="CC46" s="3" t="s">
        <v>111</v>
      </c>
      <c r="CD46" s="3" t="s">
        <v>2593</v>
      </c>
      <c r="CE46" s="3" t="s">
        <v>111</v>
      </c>
      <c r="CF46" s="3">
        <v>5022</v>
      </c>
      <c r="CI46" s="3">
        <f t="shared" si="4"/>
        <v>0.23100000000000001</v>
      </c>
      <c r="CN46" s="3" t="s">
        <v>3398</v>
      </c>
      <c r="CO46" s="3" t="s">
        <v>4707</v>
      </c>
    </row>
    <row r="47" spans="1:93" x14ac:dyDescent="0.2">
      <c r="A47" s="3" t="s">
        <v>3399</v>
      </c>
      <c r="C47" s="5" t="s">
        <v>4727</v>
      </c>
      <c r="D47" s="8">
        <v>11</v>
      </c>
      <c r="E47" s="5" t="s">
        <v>4733</v>
      </c>
      <c r="G47" s="3" t="s">
        <v>4707</v>
      </c>
      <c r="H47" s="3">
        <v>17302</v>
      </c>
      <c r="I47" s="14">
        <v>44747.53125</v>
      </c>
      <c r="J47" s="14">
        <v>45159.522916666669</v>
      </c>
      <c r="K47" s="3" t="s">
        <v>2591</v>
      </c>
      <c r="L47" s="3" t="s">
        <v>111</v>
      </c>
      <c r="M47" s="3" t="s">
        <v>111</v>
      </c>
      <c r="N47" s="3" t="s">
        <v>111</v>
      </c>
      <c r="O47" s="3" t="s">
        <v>112</v>
      </c>
      <c r="P47" s="3" t="s">
        <v>2165</v>
      </c>
      <c r="Q47" s="3" t="s">
        <v>2166</v>
      </c>
      <c r="R47" s="3">
        <v>36</v>
      </c>
      <c r="S47" s="3" t="s">
        <v>2167</v>
      </c>
      <c r="T47" s="3">
        <v>0.8</v>
      </c>
      <c r="U47" s="3">
        <v>1</v>
      </c>
      <c r="V47" s="3">
        <v>270</v>
      </c>
      <c r="W47" s="3">
        <v>6</v>
      </c>
      <c r="X47" s="3">
        <v>8847</v>
      </c>
      <c r="Y47" s="3">
        <v>0.11219999999999999</v>
      </c>
      <c r="Z47" s="3">
        <v>9.8500000000000004E-2</v>
      </c>
      <c r="AA47" s="3">
        <v>0.87739999999999996</v>
      </c>
      <c r="AB47" s="3" t="s">
        <v>113</v>
      </c>
      <c r="AC47" s="3" t="s">
        <v>4467</v>
      </c>
      <c r="AD47" s="3" t="s">
        <v>113</v>
      </c>
      <c r="AE47" s="3" t="s">
        <v>113</v>
      </c>
      <c r="AF47" s="3" t="s">
        <v>113</v>
      </c>
      <c r="AG47" s="3" t="s">
        <v>113</v>
      </c>
      <c r="AH47" s="3" t="s">
        <v>113</v>
      </c>
      <c r="AI47" s="3" t="s">
        <v>113</v>
      </c>
      <c r="AJ47" s="3">
        <v>859.63430000000005</v>
      </c>
      <c r="AK47" s="3" t="s">
        <v>4468</v>
      </c>
      <c r="AL47" s="3" t="s">
        <v>113</v>
      </c>
      <c r="AM47" s="3" t="s">
        <v>113</v>
      </c>
      <c r="AN47" s="3" t="s">
        <v>113</v>
      </c>
      <c r="AO47" s="3" t="s">
        <v>131</v>
      </c>
      <c r="AP47" s="3" t="s">
        <v>4322</v>
      </c>
      <c r="AQ47" s="3" t="s">
        <v>3738</v>
      </c>
      <c r="AR47" s="3" t="s">
        <v>4025</v>
      </c>
      <c r="AS47" s="3" t="s">
        <v>4469</v>
      </c>
      <c r="AT47" s="3" t="s">
        <v>4470</v>
      </c>
      <c r="AU47" s="3" t="s">
        <v>4471</v>
      </c>
      <c r="AV47" s="7">
        <v>0.14299999999999999</v>
      </c>
      <c r="AY47" s="3" t="s">
        <v>3399</v>
      </c>
      <c r="BA47" s="3" t="s">
        <v>4472</v>
      </c>
      <c r="BB47" s="3" t="s">
        <v>4473</v>
      </c>
      <c r="BC47" s="3" t="s">
        <v>3426</v>
      </c>
      <c r="BD47" s="3" t="s">
        <v>4379</v>
      </c>
      <c r="BE47" s="3" t="s">
        <v>3455</v>
      </c>
      <c r="BF47" s="3" t="s">
        <v>3571</v>
      </c>
      <c r="BG47" s="3" t="s">
        <v>3429</v>
      </c>
      <c r="BH47" s="3" t="s">
        <v>3426</v>
      </c>
      <c r="BI47" s="3" t="s">
        <v>4020</v>
      </c>
      <c r="BJ47" s="3" t="s">
        <v>4474</v>
      </c>
      <c r="BK47" s="3" t="s">
        <v>3531</v>
      </c>
      <c r="BL47" s="3" t="s">
        <v>4184</v>
      </c>
      <c r="BM47" s="3" t="s">
        <v>4475</v>
      </c>
      <c r="BN47" s="3" t="s">
        <v>3979</v>
      </c>
      <c r="BO47" s="3">
        <v>1.0500000000000001E-2</v>
      </c>
      <c r="BP47" s="3">
        <v>1.0500000000000001E-2</v>
      </c>
      <c r="BQ47" s="3">
        <v>1.0500000000000001E-2</v>
      </c>
      <c r="BR47" s="3">
        <v>124</v>
      </c>
      <c r="BS47" s="3">
        <v>160</v>
      </c>
      <c r="BT47" s="3">
        <v>20</v>
      </c>
      <c r="BU47" s="3">
        <v>1140</v>
      </c>
      <c r="BV47" s="3">
        <v>407</v>
      </c>
      <c r="BW47" s="3">
        <v>1097</v>
      </c>
      <c r="BX47" s="3">
        <v>1685</v>
      </c>
      <c r="BY47" s="3" t="s">
        <v>153</v>
      </c>
      <c r="BZ47" s="3" t="s">
        <v>153</v>
      </c>
      <c r="CA47" s="3">
        <v>0</v>
      </c>
      <c r="CB47" s="3" t="s">
        <v>2593</v>
      </c>
      <c r="CC47" s="3" t="s">
        <v>111</v>
      </c>
      <c r="CD47" s="3" t="s">
        <v>2593</v>
      </c>
      <c r="CE47" s="3" t="s">
        <v>111</v>
      </c>
      <c r="CF47" s="3">
        <v>5022</v>
      </c>
      <c r="CI47" s="3">
        <f t="shared" si="4"/>
        <v>0.21000000000000002</v>
      </c>
      <c r="CN47" s="3" t="s">
        <v>3399</v>
      </c>
      <c r="CO47" s="3" t="s">
        <v>4707</v>
      </c>
    </row>
    <row r="48" spans="1:93" x14ac:dyDescent="0.2">
      <c r="A48" s="3" t="s">
        <v>3400</v>
      </c>
      <c r="C48" s="5" t="s">
        <v>4727</v>
      </c>
      <c r="D48" s="8">
        <v>11</v>
      </c>
      <c r="E48" s="5" t="s">
        <v>4733</v>
      </c>
      <c r="G48" s="3" t="s">
        <v>4707</v>
      </c>
      <c r="H48" s="3">
        <v>17302</v>
      </c>
      <c r="I48" s="14">
        <v>44747.53125</v>
      </c>
      <c r="J48" s="14">
        <v>45159.523611111108</v>
      </c>
      <c r="K48" s="3" t="s">
        <v>2591</v>
      </c>
      <c r="L48" s="3" t="s">
        <v>111</v>
      </c>
      <c r="M48" s="3" t="s">
        <v>111</v>
      </c>
      <c r="N48" s="3" t="s">
        <v>111</v>
      </c>
      <c r="O48" s="3" t="s">
        <v>112</v>
      </c>
      <c r="P48" s="3" t="s">
        <v>2165</v>
      </c>
      <c r="Q48" s="3" t="s">
        <v>2166</v>
      </c>
      <c r="R48" s="3">
        <v>36</v>
      </c>
      <c r="S48" s="3" t="s">
        <v>2167</v>
      </c>
      <c r="T48" s="3">
        <v>0.8</v>
      </c>
      <c r="U48" s="3">
        <v>1</v>
      </c>
      <c r="V48" s="3">
        <v>270</v>
      </c>
      <c r="W48" s="3">
        <v>6</v>
      </c>
      <c r="X48" s="3">
        <v>8847</v>
      </c>
      <c r="Y48" s="3">
        <v>0.19670000000000001</v>
      </c>
      <c r="Z48" s="3">
        <v>0.1799</v>
      </c>
      <c r="AA48" s="3">
        <v>0.91469999999999996</v>
      </c>
      <c r="AB48" s="3" t="s">
        <v>113</v>
      </c>
      <c r="AC48" s="3" t="s">
        <v>4476</v>
      </c>
      <c r="AD48" s="3" t="s">
        <v>113</v>
      </c>
      <c r="AE48" s="3" t="s">
        <v>113</v>
      </c>
      <c r="AF48" s="3" t="s">
        <v>113</v>
      </c>
      <c r="AG48" s="3" t="s">
        <v>113</v>
      </c>
      <c r="AH48" s="3" t="s">
        <v>113</v>
      </c>
      <c r="AI48" s="3" t="s">
        <v>113</v>
      </c>
      <c r="AJ48" s="3">
        <v>942.49760000000003</v>
      </c>
      <c r="AK48" s="3" t="s">
        <v>4477</v>
      </c>
      <c r="AL48" s="3" t="s">
        <v>113</v>
      </c>
      <c r="AM48" s="3" t="s">
        <v>113</v>
      </c>
      <c r="AN48" s="3" t="s">
        <v>113</v>
      </c>
      <c r="AO48" s="3" t="s">
        <v>131</v>
      </c>
      <c r="AP48" s="3" t="s">
        <v>4478</v>
      </c>
      <c r="AQ48" s="3" t="s">
        <v>3565</v>
      </c>
      <c r="AR48" s="3" t="s">
        <v>3952</v>
      </c>
      <c r="AS48" s="3" t="s">
        <v>4479</v>
      </c>
      <c r="AT48" s="3" t="s">
        <v>4480</v>
      </c>
      <c r="AU48" s="3" t="s">
        <v>4022</v>
      </c>
      <c r="AV48" s="7">
        <v>0.16700000000000001</v>
      </c>
      <c r="AY48" s="3" t="s">
        <v>3400</v>
      </c>
      <c r="BA48" s="3" t="s">
        <v>4481</v>
      </c>
      <c r="BB48" s="3" t="s">
        <v>4482</v>
      </c>
      <c r="BC48" s="3" t="s">
        <v>3489</v>
      </c>
      <c r="BD48" s="3" t="s">
        <v>4483</v>
      </c>
      <c r="BE48" s="3" t="s">
        <v>3844</v>
      </c>
      <c r="BF48" s="3" t="s">
        <v>3532</v>
      </c>
      <c r="BG48" s="3" t="s">
        <v>3497</v>
      </c>
      <c r="BH48" s="3" t="s">
        <v>3489</v>
      </c>
      <c r="BI48" s="3" t="s">
        <v>3452</v>
      </c>
      <c r="BJ48" s="3" t="s">
        <v>4484</v>
      </c>
      <c r="BK48" s="3" t="s">
        <v>3618</v>
      </c>
      <c r="BL48" s="3" t="s">
        <v>4485</v>
      </c>
      <c r="BM48" s="3" t="s">
        <v>3955</v>
      </c>
      <c r="BN48" s="3" t="s">
        <v>3430</v>
      </c>
      <c r="BO48" s="3">
        <v>1.0500000000000001E-2</v>
      </c>
      <c r="BP48" s="3">
        <v>1.0500000000000001E-2</v>
      </c>
      <c r="BQ48" s="3">
        <v>1.0500000000000001E-2</v>
      </c>
      <c r="BR48" s="3">
        <v>172</v>
      </c>
      <c r="BS48" s="3">
        <v>156</v>
      </c>
      <c r="BT48" s="3">
        <v>23</v>
      </c>
      <c r="BU48" s="3">
        <v>1275</v>
      </c>
      <c r="BV48" s="3">
        <v>758</v>
      </c>
      <c r="BW48" s="3">
        <v>329</v>
      </c>
      <c r="BX48" s="3">
        <v>1685</v>
      </c>
      <c r="BY48" s="3" t="s">
        <v>153</v>
      </c>
      <c r="BZ48" s="3" t="s">
        <v>153</v>
      </c>
      <c r="CA48" s="3">
        <v>0</v>
      </c>
      <c r="CB48" s="3" t="s">
        <v>2593</v>
      </c>
      <c r="CC48" s="3" t="s">
        <v>111</v>
      </c>
      <c r="CD48" s="3" t="s">
        <v>2593</v>
      </c>
      <c r="CE48" s="3" t="s">
        <v>111</v>
      </c>
      <c r="CF48" s="3">
        <v>5022</v>
      </c>
      <c r="CI48" s="3">
        <f t="shared" si="4"/>
        <v>0.24150000000000002</v>
      </c>
      <c r="CN48" s="3" t="s">
        <v>3400</v>
      </c>
      <c r="CO48" s="3" t="s">
        <v>4707</v>
      </c>
    </row>
    <row r="50" spans="1:93" x14ac:dyDescent="0.2">
      <c r="I50" s="14"/>
      <c r="J50" s="14"/>
      <c r="CH50" s="3" t="s">
        <v>4723</v>
      </c>
      <c r="CI50" s="3">
        <f>_xlfn.T.TEST(CI32:CI40,CI43:CI48,2,3)</f>
        <v>1.2786072326941426E-3</v>
      </c>
    </row>
    <row r="51" spans="1:93" x14ac:dyDescent="0.2">
      <c r="I51" s="14"/>
      <c r="J51" s="14"/>
    </row>
    <row r="52" spans="1:93" ht="16" x14ac:dyDescent="0.2">
      <c r="A52" s="3" t="s">
        <v>3362</v>
      </c>
      <c r="C52" s="4" t="s">
        <v>4726</v>
      </c>
      <c r="D52" s="4">
        <v>12</v>
      </c>
      <c r="E52" s="5" t="s">
        <v>4734</v>
      </c>
      <c r="G52" s="3" t="s">
        <v>4707</v>
      </c>
      <c r="H52" s="3">
        <v>18041</v>
      </c>
      <c r="I52" s="14">
        <v>45156.44027777778</v>
      </c>
      <c r="J52" s="14">
        <v>45167.61041666667</v>
      </c>
      <c r="K52" s="3" t="s">
        <v>583</v>
      </c>
      <c r="L52" s="3" t="s">
        <v>111</v>
      </c>
      <c r="M52" s="3" t="s">
        <v>111</v>
      </c>
      <c r="N52" s="3" t="s">
        <v>111</v>
      </c>
      <c r="O52" s="3" t="s">
        <v>112</v>
      </c>
      <c r="P52" s="3" t="s">
        <v>113</v>
      </c>
      <c r="Q52" s="3" t="s">
        <v>113</v>
      </c>
      <c r="R52" s="3">
        <v>0</v>
      </c>
      <c r="S52" s="3" t="s">
        <v>113</v>
      </c>
      <c r="T52" s="3">
        <v>0.8</v>
      </c>
      <c r="U52" s="3">
        <v>1</v>
      </c>
      <c r="V52" s="3">
        <v>270</v>
      </c>
      <c r="W52" s="3">
        <v>6</v>
      </c>
      <c r="X52" s="3">
        <v>8847</v>
      </c>
      <c r="Y52" s="3">
        <v>2.3599999999999999E-2</v>
      </c>
      <c r="Z52" s="3">
        <v>2.2499999999999999E-2</v>
      </c>
      <c r="AA52" s="3">
        <v>0.95350000000000001</v>
      </c>
      <c r="AB52" s="3" t="s">
        <v>113</v>
      </c>
      <c r="AC52" s="3" t="s">
        <v>3669</v>
      </c>
      <c r="AD52" s="3" t="s">
        <v>113</v>
      </c>
      <c r="AE52" s="3" t="s">
        <v>113</v>
      </c>
      <c r="AF52" s="3" t="s">
        <v>113</v>
      </c>
      <c r="AG52" s="3" t="s">
        <v>113</v>
      </c>
      <c r="AH52" s="3" t="s">
        <v>113</v>
      </c>
      <c r="AI52" s="3" t="s">
        <v>113</v>
      </c>
      <c r="AJ52" s="3">
        <v>826.85249999999996</v>
      </c>
      <c r="AK52" s="3" t="s">
        <v>3670</v>
      </c>
      <c r="AL52" s="3" t="s">
        <v>113</v>
      </c>
      <c r="AM52" s="3" t="s">
        <v>113</v>
      </c>
      <c r="AN52" s="3" t="s">
        <v>113</v>
      </c>
      <c r="AO52" s="3" t="s">
        <v>131</v>
      </c>
      <c r="AP52" s="3" t="s">
        <v>3671</v>
      </c>
      <c r="AQ52" s="3" t="s">
        <v>3672</v>
      </c>
      <c r="AR52" s="3" t="s">
        <v>3673</v>
      </c>
      <c r="AS52" s="3" t="s">
        <v>3452</v>
      </c>
      <c r="AT52" s="3" t="s">
        <v>3674</v>
      </c>
      <c r="AU52" s="3" t="s">
        <v>3675</v>
      </c>
      <c r="AV52" s="7">
        <v>0.107</v>
      </c>
      <c r="AY52" s="3" t="s">
        <v>3362</v>
      </c>
      <c r="BA52" s="3" t="s">
        <v>3633</v>
      </c>
      <c r="BB52" s="3" t="s">
        <v>3676</v>
      </c>
      <c r="BC52" s="3" t="s">
        <v>3677</v>
      </c>
      <c r="BD52" s="3" t="s">
        <v>3470</v>
      </c>
      <c r="BE52" s="3" t="s">
        <v>3678</v>
      </c>
      <c r="BF52" s="3" t="s">
        <v>3566</v>
      </c>
      <c r="BG52" s="3" t="s">
        <v>3429</v>
      </c>
      <c r="BH52" s="3" t="s">
        <v>3677</v>
      </c>
      <c r="BI52" s="3" t="s">
        <v>3679</v>
      </c>
      <c r="BJ52" s="3" t="s">
        <v>3532</v>
      </c>
      <c r="BK52" s="3" t="s">
        <v>3515</v>
      </c>
      <c r="BL52" s="3" t="s">
        <v>3584</v>
      </c>
      <c r="BM52" s="3" t="s">
        <v>3678</v>
      </c>
      <c r="BN52" s="3" t="s">
        <v>3430</v>
      </c>
      <c r="BO52" s="3">
        <v>1.0500000000000001E-2</v>
      </c>
      <c r="BP52" s="3">
        <v>1.0500000000000001E-2</v>
      </c>
      <c r="BQ52" s="3">
        <v>1.0500000000000001E-2</v>
      </c>
      <c r="BR52" s="3">
        <v>96</v>
      </c>
      <c r="BS52" s="3">
        <v>108</v>
      </c>
      <c r="BT52" s="3">
        <v>6</v>
      </c>
      <c r="BU52" s="3">
        <v>350</v>
      </c>
      <c r="BV52" s="3">
        <v>1169</v>
      </c>
      <c r="BW52" s="3">
        <v>315</v>
      </c>
      <c r="BX52" s="3">
        <v>800</v>
      </c>
      <c r="BY52" s="3" t="s">
        <v>111</v>
      </c>
      <c r="BZ52" s="3" t="s">
        <v>153</v>
      </c>
      <c r="CA52" s="3">
        <v>0</v>
      </c>
      <c r="CB52" s="3" t="s">
        <v>111</v>
      </c>
      <c r="CC52" s="3" t="s">
        <v>111</v>
      </c>
      <c r="CD52" s="3" t="s">
        <v>615</v>
      </c>
      <c r="CE52" s="3" t="s">
        <v>111</v>
      </c>
      <c r="CF52" s="3">
        <v>5022</v>
      </c>
      <c r="CI52" s="3">
        <f>BQ52*BT52</f>
        <v>6.3E-2</v>
      </c>
      <c r="CN52" s="3" t="s">
        <v>3362</v>
      </c>
      <c r="CO52" s="3" t="s">
        <v>4707</v>
      </c>
    </row>
    <row r="53" spans="1:93" ht="16" x14ac:dyDescent="0.2">
      <c r="A53" s="3" t="s">
        <v>3363</v>
      </c>
      <c r="C53" s="5" t="s">
        <v>4726</v>
      </c>
      <c r="D53" s="4">
        <v>12</v>
      </c>
      <c r="E53" s="5" t="s">
        <v>4734</v>
      </c>
      <c r="G53" s="3" t="s">
        <v>4707</v>
      </c>
      <c r="H53" s="3">
        <v>18042</v>
      </c>
      <c r="I53" s="14">
        <v>45156.463888888888</v>
      </c>
      <c r="J53" s="14">
        <v>45167.619444444441</v>
      </c>
      <c r="K53" s="3" t="s">
        <v>649</v>
      </c>
      <c r="L53" s="3" t="s">
        <v>111</v>
      </c>
      <c r="M53" s="3" t="s">
        <v>111</v>
      </c>
      <c r="N53" s="3" t="s">
        <v>111</v>
      </c>
      <c r="O53" s="3" t="s">
        <v>112</v>
      </c>
      <c r="P53" s="3" t="s">
        <v>113</v>
      </c>
      <c r="Q53" s="3" t="s">
        <v>113</v>
      </c>
      <c r="R53" s="3">
        <v>0</v>
      </c>
      <c r="S53" s="3" t="s">
        <v>113</v>
      </c>
      <c r="T53" s="3">
        <v>0.8</v>
      </c>
      <c r="U53" s="3">
        <v>1</v>
      </c>
      <c r="V53" s="3">
        <v>270</v>
      </c>
      <c r="W53" s="3">
        <v>6</v>
      </c>
      <c r="X53" s="3">
        <v>8847</v>
      </c>
      <c r="Y53" s="3">
        <v>0.18790000000000001</v>
      </c>
      <c r="Z53" s="3">
        <v>0.17710000000000001</v>
      </c>
      <c r="AA53" s="3">
        <v>0.94230000000000003</v>
      </c>
      <c r="AB53" s="3" t="s">
        <v>113</v>
      </c>
      <c r="AC53" s="3" t="s">
        <v>3695</v>
      </c>
      <c r="AD53" s="3" t="s">
        <v>113</v>
      </c>
      <c r="AE53" s="3" t="s">
        <v>113</v>
      </c>
      <c r="AF53" s="3" t="s">
        <v>113</v>
      </c>
      <c r="AG53" s="3" t="s">
        <v>113</v>
      </c>
      <c r="AH53" s="3" t="s">
        <v>113</v>
      </c>
      <c r="AI53" s="3" t="s">
        <v>113</v>
      </c>
      <c r="AJ53" s="3">
        <v>984.43790000000001</v>
      </c>
      <c r="AK53" s="3" t="s">
        <v>3696</v>
      </c>
      <c r="AL53" s="3" t="s">
        <v>113</v>
      </c>
      <c r="AM53" s="3" t="s">
        <v>113</v>
      </c>
      <c r="AN53" s="3" t="s">
        <v>113</v>
      </c>
      <c r="AO53" s="3" t="s">
        <v>131</v>
      </c>
      <c r="AP53" s="3" t="s">
        <v>3687</v>
      </c>
      <c r="AQ53" s="3" t="s">
        <v>3697</v>
      </c>
      <c r="AR53" s="3" t="s">
        <v>3698</v>
      </c>
      <c r="AS53" s="3" t="s">
        <v>3699</v>
      </c>
      <c r="AT53" s="3" t="s">
        <v>3700</v>
      </c>
      <c r="AU53" s="3" t="s">
        <v>3701</v>
      </c>
      <c r="AV53" s="7">
        <v>0.18</v>
      </c>
      <c r="AY53" s="3" t="s">
        <v>3363</v>
      </c>
      <c r="BA53" s="3" t="s">
        <v>3702</v>
      </c>
      <c r="BB53" s="3" t="s">
        <v>3703</v>
      </c>
      <c r="BC53" s="3" t="s">
        <v>3704</v>
      </c>
      <c r="BD53" s="3" t="s">
        <v>3705</v>
      </c>
      <c r="BE53" s="3" t="s">
        <v>3706</v>
      </c>
      <c r="BF53" s="3" t="s">
        <v>3429</v>
      </c>
      <c r="BG53" s="3" t="s">
        <v>3707</v>
      </c>
      <c r="BH53" s="3" t="s">
        <v>3552</v>
      </c>
      <c r="BI53" s="3" t="s">
        <v>3708</v>
      </c>
      <c r="BJ53" s="3" t="s">
        <v>3709</v>
      </c>
      <c r="BK53" s="3" t="s">
        <v>3456</v>
      </c>
      <c r="BL53" s="3" t="s">
        <v>3710</v>
      </c>
      <c r="BM53" s="3" t="s">
        <v>3450</v>
      </c>
      <c r="BN53" s="3" t="s">
        <v>3711</v>
      </c>
      <c r="BO53" s="3">
        <v>1.0500000000000001E-2</v>
      </c>
      <c r="BP53" s="3">
        <v>1.0500000000000001E-2</v>
      </c>
      <c r="BQ53" s="3">
        <v>1.0500000000000001E-2</v>
      </c>
      <c r="BR53" s="3">
        <v>164</v>
      </c>
      <c r="BS53" s="3">
        <v>140</v>
      </c>
      <c r="BT53" s="3">
        <v>19</v>
      </c>
      <c r="BU53" s="3">
        <v>306</v>
      </c>
      <c r="BV53" s="3">
        <v>769</v>
      </c>
      <c r="BW53" s="3">
        <v>725</v>
      </c>
      <c r="BX53" s="3">
        <v>1126</v>
      </c>
      <c r="BY53" s="3" t="s">
        <v>111</v>
      </c>
      <c r="BZ53" s="3" t="s">
        <v>153</v>
      </c>
      <c r="CA53" s="3">
        <v>0</v>
      </c>
      <c r="CB53" s="3" t="s">
        <v>111</v>
      </c>
      <c r="CC53" s="3" t="s">
        <v>111</v>
      </c>
      <c r="CD53" s="3" t="s">
        <v>681</v>
      </c>
      <c r="CE53" s="3" t="s">
        <v>111</v>
      </c>
      <c r="CF53" s="3">
        <v>5022</v>
      </c>
      <c r="CI53" s="3">
        <f>BQ53*BT53</f>
        <v>0.19950000000000001</v>
      </c>
      <c r="CN53" s="3" t="s">
        <v>3363</v>
      </c>
      <c r="CO53" s="3" t="s">
        <v>4707</v>
      </c>
    </row>
    <row r="54" spans="1:93" ht="16" x14ac:dyDescent="0.2">
      <c r="A54" s="3" t="s">
        <v>3364</v>
      </c>
      <c r="C54" s="4" t="s">
        <v>4726</v>
      </c>
      <c r="D54" s="4">
        <v>12</v>
      </c>
      <c r="E54" s="5" t="s">
        <v>4734</v>
      </c>
      <c r="G54" s="3" t="s">
        <v>4707</v>
      </c>
      <c r="H54" s="3">
        <v>18043</v>
      </c>
      <c r="I54" s="14">
        <v>45156.509027777778</v>
      </c>
      <c r="J54" s="14">
        <v>45167.634722222225</v>
      </c>
      <c r="K54" s="3" t="s">
        <v>714</v>
      </c>
      <c r="L54" s="3" t="s">
        <v>111</v>
      </c>
      <c r="M54" s="3" t="s">
        <v>111</v>
      </c>
      <c r="N54" s="3" t="s">
        <v>111</v>
      </c>
      <c r="O54" s="3" t="s">
        <v>112</v>
      </c>
      <c r="P54" s="3" t="s">
        <v>113</v>
      </c>
      <c r="Q54" s="3" t="s">
        <v>113</v>
      </c>
      <c r="R54" s="3">
        <v>0</v>
      </c>
      <c r="S54" s="3" t="s">
        <v>113</v>
      </c>
      <c r="T54" s="3">
        <v>0.8</v>
      </c>
      <c r="U54" s="3">
        <v>1</v>
      </c>
      <c r="V54" s="3">
        <v>270</v>
      </c>
      <c r="W54" s="3">
        <v>6</v>
      </c>
      <c r="X54" s="3">
        <v>8847</v>
      </c>
      <c r="Y54" s="3">
        <v>0.1472</v>
      </c>
      <c r="Z54" s="3">
        <v>0.1384</v>
      </c>
      <c r="AA54" s="3">
        <v>0.94079999999999997</v>
      </c>
      <c r="AB54" s="3" t="s">
        <v>113</v>
      </c>
      <c r="AC54" s="3" t="s">
        <v>3730</v>
      </c>
      <c r="AD54" s="3" t="s">
        <v>113</v>
      </c>
      <c r="AE54" s="3" t="s">
        <v>113</v>
      </c>
      <c r="AF54" s="3" t="s">
        <v>113</v>
      </c>
      <c r="AG54" s="3" t="s">
        <v>113</v>
      </c>
      <c r="AH54" s="3" t="s">
        <v>113</v>
      </c>
      <c r="AI54" s="3" t="s">
        <v>113</v>
      </c>
      <c r="AJ54" s="3">
        <v>940.53499999999997</v>
      </c>
      <c r="AK54" s="3" t="s">
        <v>968</v>
      </c>
      <c r="AL54" s="3" t="s">
        <v>113</v>
      </c>
      <c r="AM54" s="3" t="s">
        <v>113</v>
      </c>
      <c r="AN54" s="3" t="s">
        <v>113</v>
      </c>
      <c r="AO54" s="3" t="s">
        <v>131</v>
      </c>
      <c r="AP54" s="3" t="s">
        <v>3731</v>
      </c>
      <c r="AQ54" s="3" t="s">
        <v>3732</v>
      </c>
      <c r="AR54" s="3" t="s">
        <v>3656</v>
      </c>
      <c r="AS54" s="3" t="s">
        <v>3733</v>
      </c>
      <c r="AT54" s="3" t="s">
        <v>3734</v>
      </c>
      <c r="AU54" s="3" t="s">
        <v>3735</v>
      </c>
      <c r="AV54" s="7">
        <v>0.154</v>
      </c>
      <c r="AY54" s="3" t="s">
        <v>3364</v>
      </c>
      <c r="BA54" s="3" t="s">
        <v>3736</v>
      </c>
      <c r="BB54" s="3" t="s">
        <v>3737</v>
      </c>
      <c r="BC54" s="3" t="s">
        <v>3738</v>
      </c>
      <c r="BD54" s="3" t="s">
        <v>3739</v>
      </c>
      <c r="BE54" s="3" t="s">
        <v>3740</v>
      </c>
      <c r="BF54" s="3" t="s">
        <v>3515</v>
      </c>
      <c r="BG54" s="3" t="s">
        <v>3566</v>
      </c>
      <c r="BH54" s="3" t="s">
        <v>3738</v>
      </c>
      <c r="BI54" s="3" t="s">
        <v>3741</v>
      </c>
      <c r="BJ54" s="3" t="s">
        <v>3742</v>
      </c>
      <c r="BK54" s="3" t="s">
        <v>3477</v>
      </c>
      <c r="BL54" s="3" t="s">
        <v>3743</v>
      </c>
      <c r="BM54" s="3" t="s">
        <v>3744</v>
      </c>
      <c r="BN54" s="3" t="s">
        <v>3745</v>
      </c>
      <c r="BO54" s="3">
        <v>1.0500000000000001E-2</v>
      </c>
      <c r="BP54" s="3">
        <v>1.0500000000000001E-2</v>
      </c>
      <c r="BQ54" s="3">
        <v>1.0500000000000001E-2</v>
      </c>
      <c r="BR54" s="3">
        <v>164</v>
      </c>
      <c r="BS54" s="3">
        <v>136</v>
      </c>
      <c r="BT54" s="3">
        <v>18</v>
      </c>
      <c r="BU54" s="3">
        <v>649</v>
      </c>
      <c r="BV54" s="3">
        <v>396</v>
      </c>
      <c r="BW54" s="3">
        <v>316</v>
      </c>
      <c r="BX54" s="3">
        <v>810</v>
      </c>
      <c r="BY54" s="3" t="s">
        <v>111</v>
      </c>
      <c r="BZ54" s="3" t="s">
        <v>153</v>
      </c>
      <c r="CA54" s="3">
        <v>0</v>
      </c>
      <c r="CB54" s="3" t="s">
        <v>111</v>
      </c>
      <c r="CC54" s="3" t="s">
        <v>111</v>
      </c>
      <c r="CD54" s="3" t="s">
        <v>746</v>
      </c>
      <c r="CE54" s="3" t="s">
        <v>111</v>
      </c>
      <c r="CF54" s="3">
        <v>5022</v>
      </c>
      <c r="CI54" s="3">
        <f>BQ54*BT54</f>
        <v>0.189</v>
      </c>
      <c r="CN54" s="3" t="s">
        <v>3364</v>
      </c>
      <c r="CO54" s="3" t="s">
        <v>4707</v>
      </c>
    </row>
    <row r="55" spans="1:93" ht="16" x14ac:dyDescent="0.2">
      <c r="A55" s="3" t="s">
        <v>3365</v>
      </c>
      <c r="C55" s="5" t="s">
        <v>4726</v>
      </c>
      <c r="D55" s="4">
        <v>12</v>
      </c>
      <c r="E55" s="5" t="s">
        <v>4734</v>
      </c>
      <c r="G55" s="3" t="s">
        <v>4707</v>
      </c>
      <c r="H55" s="3">
        <v>18044</v>
      </c>
      <c r="I55" s="14">
        <v>45156.518055555556</v>
      </c>
      <c r="J55" s="14">
        <v>45167.673611111109</v>
      </c>
      <c r="K55" s="3" t="s">
        <v>773</v>
      </c>
      <c r="L55" s="3" t="s">
        <v>111</v>
      </c>
      <c r="M55" s="3" t="s">
        <v>111</v>
      </c>
      <c r="N55" s="3" t="s">
        <v>111</v>
      </c>
      <c r="O55" s="3" t="s">
        <v>112</v>
      </c>
      <c r="P55" s="3" t="s">
        <v>113</v>
      </c>
      <c r="Q55" s="3" t="s">
        <v>113</v>
      </c>
      <c r="R55" s="3">
        <v>0</v>
      </c>
      <c r="S55" s="3" t="s">
        <v>113</v>
      </c>
      <c r="T55" s="3">
        <v>0.8</v>
      </c>
      <c r="U55" s="3">
        <v>1</v>
      </c>
      <c r="V55" s="3">
        <v>270</v>
      </c>
      <c r="W55" s="3">
        <v>6</v>
      </c>
      <c r="X55" s="3">
        <v>8847</v>
      </c>
      <c r="Y55" s="3">
        <v>0.15290000000000001</v>
      </c>
      <c r="Z55" s="3">
        <v>0.1424</v>
      </c>
      <c r="AA55" s="3">
        <v>0.93130000000000002</v>
      </c>
      <c r="AB55" s="3" t="s">
        <v>113</v>
      </c>
      <c r="AC55" s="3" t="s">
        <v>3763</v>
      </c>
      <c r="AD55" s="3" t="s">
        <v>113</v>
      </c>
      <c r="AE55" s="3" t="s">
        <v>113</v>
      </c>
      <c r="AF55" s="3" t="s">
        <v>113</v>
      </c>
      <c r="AG55" s="3" t="s">
        <v>113</v>
      </c>
      <c r="AH55" s="3" t="s">
        <v>113</v>
      </c>
      <c r="AI55" s="3" t="s">
        <v>113</v>
      </c>
      <c r="AJ55" s="3">
        <v>945.98649999999998</v>
      </c>
      <c r="AK55" s="3" t="s">
        <v>3764</v>
      </c>
      <c r="AL55" s="3" t="s">
        <v>113</v>
      </c>
      <c r="AM55" s="3" t="s">
        <v>113</v>
      </c>
      <c r="AN55" s="3" t="s">
        <v>113</v>
      </c>
      <c r="AO55" s="3" t="s">
        <v>131</v>
      </c>
      <c r="AP55" s="3" t="s">
        <v>3765</v>
      </c>
      <c r="AQ55" s="3" t="s">
        <v>3445</v>
      </c>
      <c r="AR55" s="3" t="s">
        <v>3766</v>
      </c>
      <c r="AS55" s="3" t="s">
        <v>3767</v>
      </c>
      <c r="AT55" s="3" t="s">
        <v>3768</v>
      </c>
      <c r="AU55" s="3" t="s">
        <v>3769</v>
      </c>
      <c r="AV55" s="7">
        <v>0.14299999999999999</v>
      </c>
      <c r="AY55" s="3" t="s">
        <v>3365</v>
      </c>
      <c r="BA55" s="3" t="s">
        <v>3770</v>
      </c>
      <c r="BB55" s="3" t="s">
        <v>3771</v>
      </c>
      <c r="BC55" s="3" t="s">
        <v>3548</v>
      </c>
      <c r="BD55" s="3" t="s">
        <v>3772</v>
      </c>
      <c r="BE55" s="3" t="s">
        <v>3773</v>
      </c>
      <c r="BF55" s="3" t="s">
        <v>3451</v>
      </c>
      <c r="BG55" s="3" t="s">
        <v>3515</v>
      </c>
      <c r="BH55" s="3" t="s">
        <v>3548</v>
      </c>
      <c r="BI55" s="3" t="s">
        <v>3429</v>
      </c>
      <c r="BJ55" s="3" t="s">
        <v>3774</v>
      </c>
      <c r="BK55" s="3" t="s">
        <v>3617</v>
      </c>
      <c r="BL55" s="3" t="s">
        <v>3775</v>
      </c>
      <c r="BM55" s="3" t="s">
        <v>3429</v>
      </c>
      <c r="BN55" s="3" t="s">
        <v>3776</v>
      </c>
      <c r="BO55" s="3">
        <v>1.0500000000000001E-2</v>
      </c>
      <c r="BP55" s="3">
        <v>1.0500000000000001E-2</v>
      </c>
      <c r="BQ55" s="3">
        <v>1.0500000000000001E-2</v>
      </c>
      <c r="BR55" s="3">
        <v>144</v>
      </c>
      <c r="BS55" s="3">
        <v>184</v>
      </c>
      <c r="BT55" s="3">
        <v>20</v>
      </c>
      <c r="BU55" s="3">
        <v>1192</v>
      </c>
      <c r="BV55" s="3">
        <v>361</v>
      </c>
      <c r="BW55" s="3">
        <v>447</v>
      </c>
      <c r="BX55" s="3">
        <v>930</v>
      </c>
      <c r="BY55" s="3" t="s">
        <v>111</v>
      </c>
      <c r="BZ55" s="3" t="s">
        <v>153</v>
      </c>
      <c r="CA55" s="3">
        <v>0</v>
      </c>
      <c r="CB55" s="3" t="s">
        <v>111</v>
      </c>
      <c r="CC55" s="3" t="s">
        <v>111</v>
      </c>
      <c r="CD55" s="3" t="s">
        <v>803</v>
      </c>
      <c r="CE55" s="3" t="s">
        <v>111</v>
      </c>
      <c r="CF55" s="3">
        <v>5022</v>
      </c>
      <c r="CI55" s="3">
        <f>BQ55*BT55</f>
        <v>0.21000000000000002</v>
      </c>
      <c r="CN55" s="3" t="s">
        <v>3365</v>
      </c>
      <c r="CO55" s="3" t="s">
        <v>4707</v>
      </c>
    </row>
    <row r="56" spans="1:93" ht="16" x14ac:dyDescent="0.2">
      <c r="A56" s="3" t="s">
        <v>3366</v>
      </c>
      <c r="C56" s="4" t="s">
        <v>4726</v>
      </c>
      <c r="D56" s="4">
        <v>12</v>
      </c>
      <c r="E56" s="5" t="s">
        <v>4734</v>
      </c>
      <c r="G56" s="3" t="s">
        <v>4707</v>
      </c>
      <c r="H56" s="3">
        <v>18046</v>
      </c>
      <c r="I56" s="14">
        <v>45156.527083333334</v>
      </c>
      <c r="J56" s="14">
        <v>45167.689583333333</v>
      </c>
      <c r="K56" s="3" t="s">
        <v>835</v>
      </c>
      <c r="L56" s="3" t="s">
        <v>111</v>
      </c>
      <c r="M56" s="3" t="s">
        <v>111</v>
      </c>
      <c r="N56" s="3" t="s">
        <v>111</v>
      </c>
      <c r="O56" s="3" t="s">
        <v>112</v>
      </c>
      <c r="P56" s="3" t="s">
        <v>113</v>
      </c>
      <c r="Q56" s="3" t="s">
        <v>113</v>
      </c>
      <c r="R56" s="3">
        <v>0</v>
      </c>
      <c r="S56" s="3" t="s">
        <v>113</v>
      </c>
      <c r="T56" s="3">
        <v>0.8</v>
      </c>
      <c r="U56" s="3">
        <v>1</v>
      </c>
      <c r="V56" s="3">
        <v>270</v>
      </c>
      <c r="W56" s="3">
        <v>6</v>
      </c>
      <c r="X56" s="3">
        <v>8847</v>
      </c>
      <c r="Y56" s="3">
        <v>3.61E-2</v>
      </c>
      <c r="Z56" s="3">
        <v>3.15E-2</v>
      </c>
      <c r="AA56" s="3">
        <v>0.87450000000000006</v>
      </c>
      <c r="AB56" s="3" t="s">
        <v>113</v>
      </c>
      <c r="AC56" s="3" t="s">
        <v>3790</v>
      </c>
      <c r="AD56" s="3" t="s">
        <v>113</v>
      </c>
      <c r="AE56" s="3" t="s">
        <v>113</v>
      </c>
      <c r="AF56" s="3" t="s">
        <v>113</v>
      </c>
      <c r="AG56" s="3" t="s">
        <v>113</v>
      </c>
      <c r="AH56" s="3" t="s">
        <v>113</v>
      </c>
      <c r="AI56" s="3" t="s">
        <v>113</v>
      </c>
      <c r="AJ56" s="3">
        <v>821.25559999999996</v>
      </c>
      <c r="AK56" s="3" t="s">
        <v>3791</v>
      </c>
      <c r="AL56" s="3" t="s">
        <v>113</v>
      </c>
      <c r="AM56" s="3" t="s">
        <v>113</v>
      </c>
      <c r="AN56" s="3" t="s">
        <v>113</v>
      </c>
      <c r="AO56" s="3" t="s">
        <v>131</v>
      </c>
      <c r="AP56" s="3" t="s">
        <v>3552</v>
      </c>
      <c r="AQ56" s="3" t="s">
        <v>3792</v>
      </c>
      <c r="AR56" s="3" t="s">
        <v>3793</v>
      </c>
      <c r="AS56" s="3" t="s">
        <v>3794</v>
      </c>
      <c r="AT56" s="3" t="s">
        <v>3795</v>
      </c>
      <c r="AU56" s="3" t="s">
        <v>3796</v>
      </c>
      <c r="AV56" s="7">
        <v>8.4000000000000005E-2</v>
      </c>
      <c r="AY56" s="3" t="s">
        <v>3366</v>
      </c>
      <c r="BA56" s="3" t="s">
        <v>3450</v>
      </c>
      <c r="BB56" s="3" t="s">
        <v>3797</v>
      </c>
      <c r="BC56" s="3" t="s">
        <v>3521</v>
      </c>
      <c r="BD56" s="3" t="s">
        <v>3798</v>
      </c>
      <c r="BE56" s="3" t="s">
        <v>3542</v>
      </c>
      <c r="BF56" s="3" t="s">
        <v>3429</v>
      </c>
      <c r="BG56" s="3" t="s">
        <v>3433</v>
      </c>
      <c r="BH56" s="3" t="s">
        <v>3521</v>
      </c>
      <c r="BI56" s="3" t="s">
        <v>3799</v>
      </c>
      <c r="BJ56" s="3" t="s">
        <v>3800</v>
      </c>
      <c r="BK56" s="3" t="s">
        <v>3430</v>
      </c>
      <c r="BL56" s="3" t="s">
        <v>3801</v>
      </c>
      <c r="BM56" s="3" t="s">
        <v>3526</v>
      </c>
      <c r="BN56" s="3" t="s">
        <v>3745</v>
      </c>
      <c r="BO56" s="3">
        <v>1.0500000000000001E-2</v>
      </c>
      <c r="BP56" s="3">
        <v>1.0500000000000001E-2</v>
      </c>
      <c r="BQ56" s="3">
        <v>1.0500000000000001E-2</v>
      </c>
      <c r="BR56" s="3">
        <v>104</v>
      </c>
      <c r="BS56" s="3">
        <v>116</v>
      </c>
      <c r="BT56" s="3">
        <v>9</v>
      </c>
      <c r="BU56" s="3">
        <v>1364</v>
      </c>
      <c r="BV56" s="3">
        <v>780</v>
      </c>
      <c r="BW56" s="3">
        <v>310</v>
      </c>
      <c r="BX56" s="3">
        <v>740</v>
      </c>
      <c r="BY56" s="3" t="s">
        <v>111</v>
      </c>
      <c r="BZ56" s="3" t="s">
        <v>153</v>
      </c>
      <c r="CA56" s="3">
        <v>0</v>
      </c>
      <c r="CB56" s="3" t="s">
        <v>111</v>
      </c>
      <c r="CC56" s="3" t="s">
        <v>111</v>
      </c>
      <c r="CD56" s="3" t="s">
        <v>866</v>
      </c>
      <c r="CE56" s="3" t="s">
        <v>111</v>
      </c>
      <c r="CF56" s="3">
        <v>5022</v>
      </c>
      <c r="CI56" s="3">
        <f>BQ56*BT56</f>
        <v>9.4500000000000001E-2</v>
      </c>
      <c r="CN56" s="3" t="s">
        <v>3366</v>
      </c>
      <c r="CO56" s="3" t="s">
        <v>4707</v>
      </c>
    </row>
    <row r="57" spans="1:93" x14ac:dyDescent="0.2">
      <c r="I57" s="14"/>
      <c r="J57" s="14"/>
    </row>
    <row r="58" spans="1:93" x14ac:dyDescent="0.2">
      <c r="I58" s="14"/>
      <c r="J58" s="14"/>
      <c r="CH58" s="3" t="s">
        <v>4723</v>
      </c>
      <c r="CI58" s="3">
        <f>_xlfn.T.TEST(CI52:CI56,CI32:CI40,2,3)</f>
        <v>0.32717004264482286</v>
      </c>
    </row>
    <row r="59" spans="1:93" x14ac:dyDescent="0.2">
      <c r="I59" s="14"/>
      <c r="J59" s="14"/>
      <c r="CH59" s="3" t="s">
        <v>4724</v>
      </c>
      <c r="CI59" s="3">
        <f>_xlfn.T.TEST(CI52:CI56,CI43:CI48,2,3)</f>
        <v>6.3684748748181447E-2</v>
      </c>
    </row>
    <row r="61" spans="1:93" s="7" customFormat="1" x14ac:dyDescent="0.2">
      <c r="C61" s="3"/>
      <c r="D61" s="3"/>
      <c r="E61" s="5"/>
      <c r="CL61" s="10"/>
    </row>
    <row r="63" spans="1:93" ht="16" x14ac:dyDescent="0.2">
      <c r="A63" s="3" t="s">
        <v>3367</v>
      </c>
      <c r="C63" s="4" t="s">
        <v>4726</v>
      </c>
      <c r="D63" s="4">
        <v>12</v>
      </c>
      <c r="E63" s="5" t="s">
        <v>4732</v>
      </c>
      <c r="G63" s="3" t="s">
        <v>4708</v>
      </c>
      <c r="H63" s="3">
        <v>18047</v>
      </c>
      <c r="I63" s="14">
        <v>45156.545138888891</v>
      </c>
      <c r="J63" s="14">
        <v>45168.737500000003</v>
      </c>
      <c r="K63" s="3" t="s">
        <v>897</v>
      </c>
      <c r="L63" s="3" t="s">
        <v>111</v>
      </c>
      <c r="M63" s="3" t="s">
        <v>111</v>
      </c>
      <c r="N63" s="3" t="s">
        <v>111</v>
      </c>
      <c r="O63" s="3" t="s">
        <v>112</v>
      </c>
      <c r="P63" s="3" t="s">
        <v>113</v>
      </c>
      <c r="Q63" s="3" t="s">
        <v>113</v>
      </c>
      <c r="R63" s="3">
        <v>0</v>
      </c>
      <c r="S63" s="3" t="s">
        <v>113</v>
      </c>
      <c r="T63" s="3">
        <v>0.8</v>
      </c>
      <c r="U63" s="3">
        <v>1</v>
      </c>
      <c r="V63" s="3">
        <v>270</v>
      </c>
      <c r="W63" s="3">
        <v>6</v>
      </c>
      <c r="X63" s="3">
        <v>8847</v>
      </c>
      <c r="Y63" s="3">
        <v>8.9599999999999999E-2</v>
      </c>
      <c r="Z63" s="3">
        <v>7.4200000000000002E-2</v>
      </c>
      <c r="AA63" s="3">
        <v>0.82750000000000001</v>
      </c>
      <c r="AB63" s="3" t="s">
        <v>113</v>
      </c>
      <c r="AC63" s="3" t="s">
        <v>3828</v>
      </c>
      <c r="AD63" s="3" t="s">
        <v>113</v>
      </c>
      <c r="AE63" s="3" t="s">
        <v>113</v>
      </c>
      <c r="AF63" s="3" t="s">
        <v>113</v>
      </c>
      <c r="AG63" s="3" t="s">
        <v>113</v>
      </c>
      <c r="AH63" s="3" t="s">
        <v>113</v>
      </c>
      <c r="AI63" s="3" t="s">
        <v>113</v>
      </c>
      <c r="AJ63" s="3">
        <v>831.64980000000003</v>
      </c>
      <c r="AK63" s="3" t="s">
        <v>3829</v>
      </c>
      <c r="AL63" s="3" t="s">
        <v>113</v>
      </c>
      <c r="AM63" s="3" t="s">
        <v>113</v>
      </c>
      <c r="AN63" s="3" t="s">
        <v>113</v>
      </c>
      <c r="AO63" s="3" t="s">
        <v>131</v>
      </c>
      <c r="AP63" s="3" t="s">
        <v>3830</v>
      </c>
      <c r="AQ63" s="3" t="s">
        <v>3831</v>
      </c>
      <c r="AR63" s="3" t="s">
        <v>3691</v>
      </c>
      <c r="AS63" s="3" t="s">
        <v>3832</v>
      </c>
      <c r="AT63" s="3" t="s">
        <v>3833</v>
      </c>
      <c r="AU63" s="3" t="s">
        <v>3834</v>
      </c>
      <c r="AV63" s="7">
        <v>0.113</v>
      </c>
      <c r="AY63" s="3" t="s">
        <v>3367</v>
      </c>
      <c r="BA63" s="3" t="s">
        <v>3835</v>
      </c>
      <c r="BB63" s="3" t="s">
        <v>3836</v>
      </c>
      <c r="BC63" s="3" t="s">
        <v>3809</v>
      </c>
      <c r="BD63" s="3" t="s">
        <v>3837</v>
      </c>
      <c r="BE63" s="3" t="s">
        <v>3838</v>
      </c>
      <c r="BF63" s="3" t="s">
        <v>3566</v>
      </c>
      <c r="BG63" s="3" t="s">
        <v>3497</v>
      </c>
      <c r="BH63" s="3" t="s">
        <v>3809</v>
      </c>
      <c r="BI63" s="3" t="s">
        <v>3839</v>
      </c>
      <c r="BJ63" s="3" t="s">
        <v>3671</v>
      </c>
      <c r="BK63" s="3" t="s">
        <v>3515</v>
      </c>
      <c r="BL63" s="3" t="s">
        <v>3840</v>
      </c>
      <c r="BM63" s="3" t="s">
        <v>3841</v>
      </c>
      <c r="BN63" s="3" t="s">
        <v>3707</v>
      </c>
      <c r="BO63" s="3">
        <v>1.0500000000000001E-2</v>
      </c>
      <c r="BP63" s="3">
        <v>1.0500000000000001E-2</v>
      </c>
      <c r="BQ63" s="3">
        <v>1.0500000000000001E-2</v>
      </c>
      <c r="BR63" s="3">
        <v>120</v>
      </c>
      <c r="BS63" s="3">
        <v>128</v>
      </c>
      <c r="BT63" s="3">
        <v>16</v>
      </c>
      <c r="BU63" s="3">
        <v>1255</v>
      </c>
      <c r="BV63" s="3">
        <v>1238</v>
      </c>
      <c r="BW63" s="3">
        <v>487</v>
      </c>
      <c r="BX63" s="3">
        <v>950</v>
      </c>
      <c r="BY63" s="3" t="s">
        <v>111</v>
      </c>
      <c r="BZ63" s="3" t="s">
        <v>153</v>
      </c>
      <c r="CA63" s="3">
        <v>0</v>
      </c>
      <c r="CB63" s="3" t="s">
        <v>111</v>
      </c>
      <c r="CC63" s="3" t="s">
        <v>111</v>
      </c>
      <c r="CD63" s="3" t="s">
        <v>925</v>
      </c>
      <c r="CE63" s="3" t="s">
        <v>111</v>
      </c>
      <c r="CF63" s="3">
        <v>5022</v>
      </c>
      <c r="CI63" s="3">
        <f t="shared" ref="CI63:CI71" si="5">BQ63*BT63</f>
        <v>0.16800000000000001</v>
      </c>
      <c r="CN63" s="3" t="s">
        <v>3367</v>
      </c>
      <c r="CO63" s="3" t="s">
        <v>4708</v>
      </c>
    </row>
    <row r="64" spans="1:93" ht="16" x14ac:dyDescent="0.2">
      <c r="A64" s="3" t="s">
        <v>3368</v>
      </c>
      <c r="C64" s="5" t="s">
        <v>4726</v>
      </c>
      <c r="D64" s="4">
        <v>12</v>
      </c>
      <c r="E64" s="5" t="s">
        <v>4732</v>
      </c>
      <c r="G64" s="3" t="s">
        <v>4708</v>
      </c>
      <c r="H64" s="3">
        <v>18048</v>
      </c>
      <c r="I64" s="14">
        <v>45156.563194444447</v>
      </c>
      <c r="J64" s="14">
        <v>45168.754861111112</v>
      </c>
      <c r="K64" s="3" t="s">
        <v>957</v>
      </c>
      <c r="L64" s="3" t="s">
        <v>111</v>
      </c>
      <c r="M64" s="3" t="s">
        <v>111</v>
      </c>
      <c r="N64" s="3" t="s">
        <v>111</v>
      </c>
      <c r="O64" s="3" t="s">
        <v>112</v>
      </c>
      <c r="P64" s="3" t="s">
        <v>113</v>
      </c>
      <c r="Q64" s="3" t="s">
        <v>113</v>
      </c>
      <c r="R64" s="3">
        <v>0</v>
      </c>
      <c r="S64" s="3" t="s">
        <v>113</v>
      </c>
      <c r="T64" s="3">
        <v>0.8</v>
      </c>
      <c r="U64" s="3">
        <v>1</v>
      </c>
      <c r="V64" s="3">
        <v>270</v>
      </c>
      <c r="W64" s="3">
        <v>6</v>
      </c>
      <c r="X64" s="3">
        <v>8847</v>
      </c>
      <c r="Y64" s="3">
        <v>0.1057</v>
      </c>
      <c r="Z64" s="3">
        <v>9.0999999999999998E-2</v>
      </c>
      <c r="AA64" s="3">
        <v>0.86129999999999995</v>
      </c>
      <c r="AB64" s="3" t="s">
        <v>113</v>
      </c>
      <c r="AC64" s="3" t="s">
        <v>3855</v>
      </c>
      <c r="AD64" s="3" t="s">
        <v>113</v>
      </c>
      <c r="AE64" s="3" t="s">
        <v>113</v>
      </c>
      <c r="AF64" s="3" t="s">
        <v>113</v>
      </c>
      <c r="AG64" s="3" t="s">
        <v>113</v>
      </c>
      <c r="AH64" s="3" t="s">
        <v>113</v>
      </c>
      <c r="AI64" s="3" t="s">
        <v>113</v>
      </c>
      <c r="AJ64" s="3">
        <v>854.47360000000003</v>
      </c>
      <c r="AK64" s="3" t="s">
        <v>3815</v>
      </c>
      <c r="AL64" s="3" t="s">
        <v>113</v>
      </c>
      <c r="AM64" s="3" t="s">
        <v>113</v>
      </c>
      <c r="AN64" s="3" t="s">
        <v>113</v>
      </c>
      <c r="AO64" s="3" t="s">
        <v>131</v>
      </c>
      <c r="AP64" s="3" t="s">
        <v>3856</v>
      </c>
      <c r="AQ64" s="3" t="s">
        <v>3448</v>
      </c>
      <c r="AR64" s="3" t="s">
        <v>3857</v>
      </c>
      <c r="AS64" s="3" t="s">
        <v>3858</v>
      </c>
      <c r="AT64" s="3" t="s">
        <v>3859</v>
      </c>
      <c r="AU64" s="3" t="s">
        <v>3860</v>
      </c>
      <c r="AV64" s="7">
        <v>0.121</v>
      </c>
      <c r="AY64" s="3" t="s">
        <v>3368</v>
      </c>
      <c r="BA64" s="3" t="s">
        <v>3861</v>
      </c>
      <c r="BB64" s="3" t="s">
        <v>3862</v>
      </c>
      <c r="BC64" s="3" t="s">
        <v>3468</v>
      </c>
      <c r="BD64" s="3" t="s">
        <v>3863</v>
      </c>
      <c r="BE64" s="3" t="s">
        <v>3455</v>
      </c>
      <c r="BF64" s="3" t="s">
        <v>3429</v>
      </c>
      <c r="BG64" s="3" t="s">
        <v>3497</v>
      </c>
      <c r="BH64" s="3" t="s">
        <v>3468</v>
      </c>
      <c r="BI64" s="3" t="s">
        <v>3494</v>
      </c>
      <c r="BJ64" s="3" t="s">
        <v>3864</v>
      </c>
      <c r="BK64" s="3" t="s">
        <v>3515</v>
      </c>
      <c r="BL64" s="3" t="s">
        <v>3865</v>
      </c>
      <c r="BM64" s="3" t="s">
        <v>3866</v>
      </c>
      <c r="BN64" s="3" t="s">
        <v>3532</v>
      </c>
      <c r="BO64" s="3">
        <v>1.0500000000000001E-2</v>
      </c>
      <c r="BP64" s="3">
        <v>1.0500000000000001E-2</v>
      </c>
      <c r="BQ64" s="3">
        <v>1.0500000000000001E-2</v>
      </c>
      <c r="BR64" s="3">
        <v>144</v>
      </c>
      <c r="BS64" s="3">
        <v>136</v>
      </c>
      <c r="BT64" s="3">
        <v>15</v>
      </c>
      <c r="BU64" s="3">
        <v>1183</v>
      </c>
      <c r="BV64" s="3">
        <v>1394</v>
      </c>
      <c r="BW64" s="3">
        <v>728</v>
      </c>
      <c r="BX64" s="3">
        <v>1110</v>
      </c>
      <c r="BY64" s="3" t="s">
        <v>111</v>
      </c>
      <c r="BZ64" s="3" t="s">
        <v>153</v>
      </c>
      <c r="CA64" s="3">
        <v>0</v>
      </c>
      <c r="CB64" s="3" t="s">
        <v>111</v>
      </c>
      <c r="CC64" s="3" t="s">
        <v>111</v>
      </c>
      <c r="CD64" s="3" t="s">
        <v>988</v>
      </c>
      <c r="CE64" s="3" t="s">
        <v>111</v>
      </c>
      <c r="CF64" s="3">
        <v>5022</v>
      </c>
      <c r="CI64" s="3">
        <f t="shared" si="5"/>
        <v>0.1575</v>
      </c>
      <c r="CN64" s="3" t="s">
        <v>3368</v>
      </c>
      <c r="CO64" s="3" t="s">
        <v>4708</v>
      </c>
    </row>
    <row r="65" spans="1:93" ht="16" x14ac:dyDescent="0.2">
      <c r="A65" s="3" t="s">
        <v>3369</v>
      </c>
      <c r="C65" s="4" t="s">
        <v>4726</v>
      </c>
      <c r="D65" s="4">
        <v>12</v>
      </c>
      <c r="E65" s="5" t="s">
        <v>4732</v>
      </c>
      <c r="G65" s="3" t="s">
        <v>4708</v>
      </c>
      <c r="H65" s="3">
        <v>18049</v>
      </c>
      <c r="I65" s="14">
        <v>45156.543055555558</v>
      </c>
      <c r="J65" s="14">
        <v>45168.770833333336</v>
      </c>
      <c r="K65" s="3" t="s">
        <v>1017</v>
      </c>
      <c r="L65" s="3" t="s">
        <v>111</v>
      </c>
      <c r="M65" s="3" t="s">
        <v>111</v>
      </c>
      <c r="N65" s="3" t="s">
        <v>111</v>
      </c>
      <c r="O65" s="3" t="s">
        <v>112</v>
      </c>
      <c r="P65" s="3" t="s">
        <v>113</v>
      </c>
      <c r="Q65" s="3" t="s">
        <v>113</v>
      </c>
      <c r="R65" s="3">
        <v>0</v>
      </c>
      <c r="S65" s="3" t="s">
        <v>113</v>
      </c>
      <c r="T65" s="3">
        <v>0.8</v>
      </c>
      <c r="U65" s="3">
        <v>1</v>
      </c>
      <c r="V65" s="3">
        <v>270</v>
      </c>
      <c r="W65" s="3">
        <v>6</v>
      </c>
      <c r="X65" s="3">
        <v>8847</v>
      </c>
      <c r="Y65" s="3">
        <v>5.3400000000000003E-2</v>
      </c>
      <c r="Z65" s="3">
        <v>4.9599999999999998E-2</v>
      </c>
      <c r="AA65" s="3">
        <v>0.92930000000000001</v>
      </c>
      <c r="AB65" s="3" t="s">
        <v>113</v>
      </c>
      <c r="AC65" s="3" t="s">
        <v>3879</v>
      </c>
      <c r="AD65" s="3" t="s">
        <v>113</v>
      </c>
      <c r="AE65" s="3" t="s">
        <v>113</v>
      </c>
      <c r="AF65" s="3" t="s">
        <v>113</v>
      </c>
      <c r="AG65" s="3" t="s">
        <v>113</v>
      </c>
      <c r="AH65" s="3" t="s">
        <v>113</v>
      </c>
      <c r="AI65" s="3" t="s">
        <v>113</v>
      </c>
      <c r="AJ65" s="3">
        <v>889.21799999999996</v>
      </c>
      <c r="AK65" s="3" t="s">
        <v>3880</v>
      </c>
      <c r="AL65" s="3" t="s">
        <v>113</v>
      </c>
      <c r="AM65" s="3" t="s">
        <v>113</v>
      </c>
      <c r="AN65" s="3" t="s">
        <v>113</v>
      </c>
      <c r="AO65" s="3" t="s">
        <v>131</v>
      </c>
      <c r="AP65" s="3" t="s">
        <v>3830</v>
      </c>
      <c r="AQ65" s="3" t="s">
        <v>3853</v>
      </c>
      <c r="AR65" s="3" t="s">
        <v>3881</v>
      </c>
      <c r="AS65" s="3" t="s">
        <v>3882</v>
      </c>
      <c r="AT65" s="3" t="s">
        <v>3883</v>
      </c>
      <c r="AU65" s="3" t="s">
        <v>3884</v>
      </c>
      <c r="AV65" s="7">
        <v>0.13</v>
      </c>
      <c r="AY65" s="3" t="s">
        <v>3369</v>
      </c>
      <c r="BA65" s="3" t="s">
        <v>3885</v>
      </c>
      <c r="BB65" s="3" t="s">
        <v>3886</v>
      </c>
      <c r="BC65" s="3" t="s">
        <v>3548</v>
      </c>
      <c r="BD65" s="3" t="s">
        <v>3887</v>
      </c>
      <c r="BE65" s="3" t="s">
        <v>3888</v>
      </c>
      <c r="BF65" s="3" t="s">
        <v>3707</v>
      </c>
      <c r="BG65" s="3" t="s">
        <v>3497</v>
      </c>
      <c r="BH65" s="3" t="s">
        <v>3889</v>
      </c>
      <c r="BI65" s="3" t="s">
        <v>3813</v>
      </c>
      <c r="BJ65" s="3" t="s">
        <v>3708</v>
      </c>
      <c r="BK65" s="3" t="s">
        <v>3492</v>
      </c>
      <c r="BL65" s="3" t="s">
        <v>3890</v>
      </c>
      <c r="BM65" s="3" t="s">
        <v>3618</v>
      </c>
      <c r="BN65" s="3" t="s">
        <v>3589</v>
      </c>
      <c r="BO65" s="3">
        <v>1.0500000000000001E-2</v>
      </c>
      <c r="BP65" s="3">
        <v>1.0500000000000001E-2</v>
      </c>
      <c r="BQ65" s="3">
        <v>1.0500000000000001E-2</v>
      </c>
      <c r="BR65" s="3">
        <v>120</v>
      </c>
      <c r="BS65" s="3">
        <v>128</v>
      </c>
      <c r="BT65" s="3">
        <v>16</v>
      </c>
      <c r="BU65" s="3">
        <v>693</v>
      </c>
      <c r="BV65" s="3">
        <v>1434</v>
      </c>
      <c r="BW65" s="3">
        <v>819</v>
      </c>
      <c r="BX65" s="3">
        <v>1126</v>
      </c>
      <c r="BY65" s="3" t="s">
        <v>111</v>
      </c>
      <c r="BZ65" s="3" t="s">
        <v>153</v>
      </c>
      <c r="CA65" s="3">
        <v>0</v>
      </c>
      <c r="CB65" s="3" t="s">
        <v>111</v>
      </c>
      <c r="CC65" s="3" t="s">
        <v>111</v>
      </c>
      <c r="CD65" s="3" t="s">
        <v>1046</v>
      </c>
      <c r="CE65" s="3" t="s">
        <v>111</v>
      </c>
      <c r="CF65" s="3">
        <v>5022</v>
      </c>
      <c r="CI65" s="3">
        <f t="shared" si="5"/>
        <v>0.16800000000000001</v>
      </c>
      <c r="CN65" s="3" t="s">
        <v>3369</v>
      </c>
      <c r="CO65" s="3" t="s">
        <v>4708</v>
      </c>
    </row>
    <row r="66" spans="1:93" x14ac:dyDescent="0.2">
      <c r="A66" s="3" t="s">
        <v>3401</v>
      </c>
      <c r="C66" s="5" t="s">
        <v>4727</v>
      </c>
      <c r="D66" s="5">
        <v>10</v>
      </c>
      <c r="E66" s="5" t="s">
        <v>4732</v>
      </c>
      <c r="G66" s="3" t="s">
        <v>4708</v>
      </c>
      <c r="H66" s="3">
        <v>17302</v>
      </c>
      <c r="I66" s="14">
        <v>44747.53125</v>
      </c>
      <c r="J66" s="14">
        <v>45159.539583333331</v>
      </c>
      <c r="K66" s="3" t="s">
        <v>2591</v>
      </c>
      <c r="L66" s="3" t="s">
        <v>111</v>
      </c>
      <c r="M66" s="3" t="s">
        <v>111</v>
      </c>
      <c r="N66" s="3" t="s">
        <v>111</v>
      </c>
      <c r="O66" s="3" t="s">
        <v>112</v>
      </c>
      <c r="P66" s="3" t="s">
        <v>2165</v>
      </c>
      <c r="Q66" s="3" t="s">
        <v>2166</v>
      </c>
      <c r="R66" s="3">
        <v>36</v>
      </c>
      <c r="S66" s="3" t="s">
        <v>2167</v>
      </c>
      <c r="T66" s="3">
        <v>0.8</v>
      </c>
      <c r="U66" s="3">
        <v>1</v>
      </c>
      <c r="V66" s="3">
        <v>270</v>
      </c>
      <c r="W66" s="3">
        <v>6</v>
      </c>
      <c r="X66" s="3">
        <v>8847</v>
      </c>
      <c r="Y66" s="3">
        <v>6.0499999999999998E-2</v>
      </c>
      <c r="Z66" s="3">
        <v>5.6000000000000001E-2</v>
      </c>
      <c r="AA66" s="3">
        <v>0.92659999999999998</v>
      </c>
      <c r="AB66" s="3" t="s">
        <v>113</v>
      </c>
      <c r="AC66" s="3" t="s">
        <v>4562</v>
      </c>
      <c r="AD66" s="3" t="s">
        <v>113</v>
      </c>
      <c r="AE66" s="3" t="s">
        <v>113</v>
      </c>
      <c r="AF66" s="3" t="s">
        <v>113</v>
      </c>
      <c r="AG66" s="3" t="s">
        <v>113</v>
      </c>
      <c r="AH66" s="3" t="s">
        <v>113</v>
      </c>
      <c r="AI66" s="3" t="s">
        <v>113</v>
      </c>
      <c r="AJ66" s="3">
        <v>875.18939999999998</v>
      </c>
      <c r="AK66" s="3" t="s">
        <v>4563</v>
      </c>
      <c r="AL66" s="3" t="s">
        <v>113</v>
      </c>
      <c r="AM66" s="3" t="s">
        <v>113</v>
      </c>
      <c r="AN66" s="3" t="s">
        <v>113</v>
      </c>
      <c r="AO66" s="3" t="s">
        <v>131</v>
      </c>
      <c r="AP66" s="3" t="s">
        <v>4001</v>
      </c>
      <c r="AQ66" s="3" t="s">
        <v>3521</v>
      </c>
      <c r="AR66" s="3" t="s">
        <v>4154</v>
      </c>
      <c r="AS66" s="3" t="s">
        <v>4564</v>
      </c>
      <c r="AT66" s="3" t="s">
        <v>4565</v>
      </c>
      <c r="AU66" s="3" t="s">
        <v>4566</v>
      </c>
      <c r="AV66" s="7">
        <v>0.14799999999999999</v>
      </c>
      <c r="AY66" s="3" t="s">
        <v>3401</v>
      </c>
      <c r="BA66" s="3" t="s">
        <v>4481</v>
      </c>
      <c r="BB66" s="3" t="s">
        <v>4567</v>
      </c>
      <c r="BC66" s="3" t="s">
        <v>3779</v>
      </c>
      <c r="BD66" s="3" t="s">
        <v>3706</v>
      </c>
      <c r="BE66" s="3" t="s">
        <v>3690</v>
      </c>
      <c r="BF66" s="3" t="s">
        <v>3471</v>
      </c>
      <c r="BG66" s="3" t="s">
        <v>3926</v>
      </c>
      <c r="BH66" s="3" t="s">
        <v>3779</v>
      </c>
      <c r="BI66" s="3" t="s">
        <v>3702</v>
      </c>
      <c r="BJ66" s="3" t="s">
        <v>4249</v>
      </c>
      <c r="BK66" s="3" t="s">
        <v>3634</v>
      </c>
      <c r="BL66" s="3" t="s">
        <v>3776</v>
      </c>
      <c r="BM66" s="3" t="s">
        <v>4083</v>
      </c>
      <c r="BN66" s="3" t="s">
        <v>3456</v>
      </c>
      <c r="BO66" s="3">
        <v>1.0500000000000001E-2</v>
      </c>
      <c r="BP66" s="3">
        <v>1.0500000000000001E-2</v>
      </c>
      <c r="BQ66" s="3">
        <v>1.0500000000000001E-2</v>
      </c>
      <c r="BR66" s="3">
        <v>120</v>
      </c>
      <c r="BS66" s="3">
        <v>80</v>
      </c>
      <c r="BT66" s="3">
        <v>22</v>
      </c>
      <c r="BU66" s="3">
        <v>1270</v>
      </c>
      <c r="BV66" s="3">
        <v>1326</v>
      </c>
      <c r="BW66" s="3">
        <v>620</v>
      </c>
      <c r="BX66" s="3">
        <v>1685</v>
      </c>
      <c r="BY66" s="3" t="s">
        <v>153</v>
      </c>
      <c r="BZ66" s="3" t="s">
        <v>153</v>
      </c>
      <c r="CA66" s="3">
        <v>0</v>
      </c>
      <c r="CB66" s="3" t="s">
        <v>2593</v>
      </c>
      <c r="CC66" s="3" t="s">
        <v>111</v>
      </c>
      <c r="CD66" s="3" t="s">
        <v>2593</v>
      </c>
      <c r="CE66" s="3" t="s">
        <v>111</v>
      </c>
      <c r="CF66" s="3">
        <v>5022</v>
      </c>
      <c r="CI66" s="3">
        <f t="shared" si="5"/>
        <v>0.23100000000000001</v>
      </c>
      <c r="CN66" s="3" t="s">
        <v>3401</v>
      </c>
      <c r="CO66" s="3" t="s">
        <v>4708</v>
      </c>
    </row>
    <row r="67" spans="1:93" x14ac:dyDescent="0.2">
      <c r="A67" s="3" t="s">
        <v>3402</v>
      </c>
      <c r="C67" s="5" t="s">
        <v>4727</v>
      </c>
      <c r="D67" s="5">
        <v>10</v>
      </c>
      <c r="E67" s="5" t="s">
        <v>4732</v>
      </c>
      <c r="G67" s="3" t="s">
        <v>4708</v>
      </c>
      <c r="H67" s="3">
        <v>17302</v>
      </c>
      <c r="I67" s="14">
        <v>44747.53125</v>
      </c>
      <c r="J67" s="14">
        <v>45159.540972222225</v>
      </c>
      <c r="K67" s="3" t="s">
        <v>2591</v>
      </c>
      <c r="L67" s="3" t="s">
        <v>111</v>
      </c>
      <c r="M67" s="3" t="s">
        <v>111</v>
      </c>
      <c r="N67" s="3" t="s">
        <v>111</v>
      </c>
      <c r="O67" s="3" t="s">
        <v>112</v>
      </c>
      <c r="P67" s="3" t="s">
        <v>2165</v>
      </c>
      <c r="Q67" s="3" t="s">
        <v>2166</v>
      </c>
      <c r="R67" s="3">
        <v>36</v>
      </c>
      <c r="S67" s="3" t="s">
        <v>2167</v>
      </c>
      <c r="T67" s="3">
        <v>0.8</v>
      </c>
      <c r="U67" s="3">
        <v>1</v>
      </c>
      <c r="V67" s="3">
        <v>270</v>
      </c>
      <c r="W67" s="3">
        <v>6</v>
      </c>
      <c r="X67" s="3">
        <v>8847</v>
      </c>
      <c r="Y67" s="3">
        <v>0.1147</v>
      </c>
      <c r="Z67" s="3">
        <v>9.7600000000000006E-2</v>
      </c>
      <c r="AA67" s="3">
        <v>0.85140000000000005</v>
      </c>
      <c r="AB67" s="3" t="s">
        <v>113</v>
      </c>
      <c r="AC67" s="3" t="s">
        <v>4568</v>
      </c>
      <c r="AD67" s="3" t="s">
        <v>113</v>
      </c>
      <c r="AE67" s="3" t="s">
        <v>113</v>
      </c>
      <c r="AF67" s="3" t="s">
        <v>113</v>
      </c>
      <c r="AG67" s="3" t="s">
        <v>113</v>
      </c>
      <c r="AH67" s="3" t="s">
        <v>113</v>
      </c>
      <c r="AI67" s="3" t="s">
        <v>113</v>
      </c>
      <c r="AJ67" s="3">
        <v>848.22249999999997</v>
      </c>
      <c r="AK67" s="3" t="s">
        <v>4569</v>
      </c>
      <c r="AL67" s="3" t="s">
        <v>113</v>
      </c>
      <c r="AM67" s="3" t="s">
        <v>113</v>
      </c>
      <c r="AN67" s="3" t="s">
        <v>113</v>
      </c>
      <c r="AO67" s="3" t="s">
        <v>131</v>
      </c>
      <c r="AP67" s="3" t="s">
        <v>4570</v>
      </c>
      <c r="AQ67" s="3" t="s">
        <v>3738</v>
      </c>
      <c r="AR67" s="3" t="s">
        <v>4425</v>
      </c>
      <c r="AS67" s="3" t="s">
        <v>4571</v>
      </c>
      <c r="AT67" s="3" t="s">
        <v>4572</v>
      </c>
      <c r="AU67" s="3" t="s">
        <v>4573</v>
      </c>
      <c r="AV67" s="7">
        <v>0.14599999999999999</v>
      </c>
      <c r="AY67" s="3" t="s">
        <v>3402</v>
      </c>
      <c r="BA67" s="3" t="s">
        <v>4574</v>
      </c>
      <c r="BB67" s="3" t="s">
        <v>4575</v>
      </c>
      <c r="BC67" s="3" t="s">
        <v>3493</v>
      </c>
      <c r="BD67" s="3" t="s">
        <v>3848</v>
      </c>
      <c r="BE67" s="3" t="s">
        <v>4441</v>
      </c>
      <c r="BF67" s="3" t="s">
        <v>4531</v>
      </c>
      <c r="BG67" s="3" t="s">
        <v>3430</v>
      </c>
      <c r="BH67" s="3" t="s">
        <v>4440</v>
      </c>
      <c r="BI67" s="3" t="s">
        <v>4209</v>
      </c>
      <c r="BJ67" s="3" t="s">
        <v>4576</v>
      </c>
      <c r="BK67" s="3" t="s">
        <v>3515</v>
      </c>
      <c r="BL67" s="3" t="s">
        <v>4400</v>
      </c>
      <c r="BM67" s="3" t="s">
        <v>3969</v>
      </c>
      <c r="BN67" s="3" t="s">
        <v>3476</v>
      </c>
      <c r="BO67" s="3">
        <v>1.0500000000000001E-2</v>
      </c>
      <c r="BP67" s="3">
        <v>1.0500000000000001E-2</v>
      </c>
      <c r="BQ67" s="3">
        <v>1.0500000000000001E-2</v>
      </c>
      <c r="BR67" s="3">
        <v>136</v>
      </c>
      <c r="BS67" s="3">
        <v>136</v>
      </c>
      <c r="BT67" s="3">
        <v>28</v>
      </c>
      <c r="BU67" s="3">
        <v>966</v>
      </c>
      <c r="BV67" s="3">
        <v>1594</v>
      </c>
      <c r="BW67" s="3">
        <v>444</v>
      </c>
      <c r="BX67" s="3">
        <v>1685</v>
      </c>
      <c r="BY67" s="3" t="s">
        <v>153</v>
      </c>
      <c r="BZ67" s="3" t="s">
        <v>153</v>
      </c>
      <c r="CA67" s="3">
        <v>0</v>
      </c>
      <c r="CB67" s="3" t="s">
        <v>2593</v>
      </c>
      <c r="CC67" s="3" t="s">
        <v>111</v>
      </c>
      <c r="CD67" s="3" t="s">
        <v>2593</v>
      </c>
      <c r="CE67" s="3" t="s">
        <v>111</v>
      </c>
      <c r="CF67" s="3">
        <v>5022</v>
      </c>
      <c r="CI67" s="3">
        <f t="shared" si="5"/>
        <v>0.29400000000000004</v>
      </c>
      <c r="CN67" s="3" t="s">
        <v>3402</v>
      </c>
      <c r="CO67" s="3" t="s">
        <v>4708</v>
      </c>
    </row>
    <row r="68" spans="1:93" x14ac:dyDescent="0.2">
      <c r="A68" s="3" t="s">
        <v>3403</v>
      </c>
      <c r="C68" s="5" t="s">
        <v>4727</v>
      </c>
      <c r="D68" s="5">
        <v>12</v>
      </c>
      <c r="E68" s="5" t="s">
        <v>4732</v>
      </c>
      <c r="G68" s="3" t="s">
        <v>4708</v>
      </c>
      <c r="H68" s="3">
        <v>17302</v>
      </c>
      <c r="I68" s="14">
        <v>44747.53125</v>
      </c>
      <c r="J68" s="14">
        <v>45159.541666666664</v>
      </c>
      <c r="K68" s="3" t="s">
        <v>2591</v>
      </c>
      <c r="L68" s="3" t="s">
        <v>111</v>
      </c>
      <c r="M68" s="3" t="s">
        <v>111</v>
      </c>
      <c r="N68" s="3" t="s">
        <v>111</v>
      </c>
      <c r="O68" s="3" t="s">
        <v>112</v>
      </c>
      <c r="P68" s="3" t="s">
        <v>2165</v>
      </c>
      <c r="Q68" s="3" t="s">
        <v>2166</v>
      </c>
      <c r="R68" s="3">
        <v>36</v>
      </c>
      <c r="S68" s="3" t="s">
        <v>2167</v>
      </c>
      <c r="T68" s="3">
        <v>0.8</v>
      </c>
      <c r="U68" s="3">
        <v>1</v>
      </c>
      <c r="V68" s="3">
        <v>270</v>
      </c>
      <c r="W68" s="3">
        <v>6</v>
      </c>
      <c r="X68" s="3">
        <v>8847</v>
      </c>
      <c r="Y68" s="3">
        <v>9.1200000000000003E-2</v>
      </c>
      <c r="Z68" s="3">
        <v>7.0400000000000004E-2</v>
      </c>
      <c r="AA68" s="3">
        <v>0.77159999999999995</v>
      </c>
      <c r="AB68" s="3" t="s">
        <v>113</v>
      </c>
      <c r="AC68" s="3" t="s">
        <v>4577</v>
      </c>
      <c r="AD68" s="3" t="s">
        <v>113</v>
      </c>
      <c r="AE68" s="3" t="s">
        <v>113</v>
      </c>
      <c r="AF68" s="3" t="s">
        <v>113</v>
      </c>
      <c r="AG68" s="3" t="s">
        <v>113</v>
      </c>
      <c r="AH68" s="3" t="s">
        <v>113</v>
      </c>
      <c r="AI68" s="3" t="s">
        <v>113</v>
      </c>
      <c r="AJ68" s="3">
        <v>745.0797</v>
      </c>
      <c r="AK68" s="3" t="s">
        <v>4225</v>
      </c>
      <c r="AL68" s="3" t="s">
        <v>113</v>
      </c>
      <c r="AM68" s="3" t="s">
        <v>113</v>
      </c>
      <c r="AN68" s="3" t="s">
        <v>113</v>
      </c>
      <c r="AO68" s="3" t="s">
        <v>131</v>
      </c>
      <c r="AP68" s="3" t="s">
        <v>4160</v>
      </c>
      <c r="AQ68" s="3" t="s">
        <v>3907</v>
      </c>
      <c r="AR68" s="3" t="s">
        <v>4297</v>
      </c>
      <c r="AS68" s="3" t="s">
        <v>4578</v>
      </c>
      <c r="AT68" s="3" t="s">
        <v>4579</v>
      </c>
      <c r="AU68" s="3" t="s">
        <v>4580</v>
      </c>
      <c r="AV68" s="7">
        <v>0.11600000000000001</v>
      </c>
      <c r="AY68" s="3" t="s">
        <v>3403</v>
      </c>
      <c r="BA68" s="3" t="s">
        <v>4570</v>
      </c>
      <c r="BB68" s="3" t="s">
        <v>4581</v>
      </c>
      <c r="BC68" s="3" t="s">
        <v>3989</v>
      </c>
      <c r="BD68" s="3" t="s">
        <v>3938</v>
      </c>
      <c r="BE68" s="3" t="s">
        <v>4060</v>
      </c>
      <c r="BF68" s="3" t="s">
        <v>3433</v>
      </c>
      <c r="BG68" s="3" t="s">
        <v>3430</v>
      </c>
      <c r="BH68" s="3" t="s">
        <v>4116</v>
      </c>
      <c r="BI68" s="3" t="s">
        <v>4582</v>
      </c>
      <c r="BJ68" s="3" t="s">
        <v>4550</v>
      </c>
      <c r="BK68" s="3" t="s">
        <v>3532</v>
      </c>
      <c r="BL68" s="3" t="s">
        <v>4262</v>
      </c>
      <c r="BM68" s="3" t="s">
        <v>3683</v>
      </c>
      <c r="BN68" s="3" t="s">
        <v>3436</v>
      </c>
      <c r="BO68" s="3">
        <v>1.0500000000000001E-2</v>
      </c>
      <c r="BP68" s="3">
        <v>1.0500000000000001E-2</v>
      </c>
      <c r="BQ68" s="3">
        <v>1.0500000000000001E-2</v>
      </c>
      <c r="BR68" s="3">
        <v>144</v>
      </c>
      <c r="BS68" s="3">
        <v>124</v>
      </c>
      <c r="BT68" s="3">
        <v>20</v>
      </c>
      <c r="BU68" s="3">
        <v>427</v>
      </c>
      <c r="BV68" s="3">
        <v>1517</v>
      </c>
      <c r="BW68" s="3">
        <v>365</v>
      </c>
      <c r="BX68" s="3">
        <v>1685</v>
      </c>
      <c r="BY68" s="3" t="s">
        <v>153</v>
      </c>
      <c r="BZ68" s="3" t="s">
        <v>153</v>
      </c>
      <c r="CA68" s="3">
        <v>0</v>
      </c>
      <c r="CB68" s="3" t="s">
        <v>2593</v>
      </c>
      <c r="CC68" s="3" t="s">
        <v>111</v>
      </c>
      <c r="CD68" s="3" t="s">
        <v>2593</v>
      </c>
      <c r="CE68" s="3" t="s">
        <v>111</v>
      </c>
      <c r="CF68" s="3">
        <v>5022</v>
      </c>
      <c r="CI68" s="3">
        <f t="shared" si="5"/>
        <v>0.21000000000000002</v>
      </c>
      <c r="CN68" s="3" t="s">
        <v>3403</v>
      </c>
      <c r="CO68" s="3" t="s">
        <v>4708</v>
      </c>
    </row>
    <row r="69" spans="1:93" x14ac:dyDescent="0.2">
      <c r="A69" s="3" t="s">
        <v>3404</v>
      </c>
      <c r="C69" s="5" t="s">
        <v>4726</v>
      </c>
      <c r="D69" s="5">
        <v>12</v>
      </c>
      <c r="E69" s="5" t="s">
        <v>4732</v>
      </c>
      <c r="G69" s="3" t="s">
        <v>4708</v>
      </c>
      <c r="H69" s="3">
        <v>17302</v>
      </c>
      <c r="I69" s="14">
        <v>44747.53125</v>
      </c>
      <c r="J69" s="14">
        <v>45159.542361111111</v>
      </c>
      <c r="K69" s="3" t="s">
        <v>2591</v>
      </c>
      <c r="L69" s="3" t="s">
        <v>111</v>
      </c>
      <c r="M69" s="3" t="s">
        <v>111</v>
      </c>
      <c r="N69" s="3" t="s">
        <v>111</v>
      </c>
      <c r="O69" s="3" t="s">
        <v>112</v>
      </c>
      <c r="P69" s="3" t="s">
        <v>2165</v>
      </c>
      <c r="Q69" s="3" t="s">
        <v>2166</v>
      </c>
      <c r="R69" s="3">
        <v>36</v>
      </c>
      <c r="S69" s="3" t="s">
        <v>2167</v>
      </c>
      <c r="T69" s="3">
        <v>0.8</v>
      </c>
      <c r="U69" s="3">
        <v>1</v>
      </c>
      <c r="V69" s="3">
        <v>270</v>
      </c>
      <c r="W69" s="3">
        <v>6</v>
      </c>
      <c r="X69" s="3">
        <v>8847</v>
      </c>
      <c r="Y69" s="3">
        <v>9.6500000000000002E-2</v>
      </c>
      <c r="Z69" s="3">
        <v>8.5300000000000001E-2</v>
      </c>
      <c r="AA69" s="3">
        <v>0.88339999999999996</v>
      </c>
      <c r="AB69" s="3" t="s">
        <v>113</v>
      </c>
      <c r="AC69" s="3" t="s">
        <v>4583</v>
      </c>
      <c r="AD69" s="3" t="s">
        <v>113</v>
      </c>
      <c r="AE69" s="3" t="s">
        <v>113</v>
      </c>
      <c r="AF69" s="3" t="s">
        <v>113</v>
      </c>
      <c r="AG69" s="3" t="s">
        <v>113</v>
      </c>
      <c r="AH69" s="3" t="s">
        <v>113</v>
      </c>
      <c r="AI69" s="3" t="s">
        <v>113</v>
      </c>
      <c r="AJ69" s="3">
        <v>882.31269999999995</v>
      </c>
      <c r="AK69" s="3" t="s">
        <v>4584</v>
      </c>
      <c r="AL69" s="3" t="s">
        <v>113</v>
      </c>
      <c r="AM69" s="3" t="s">
        <v>113</v>
      </c>
      <c r="AN69" s="3" t="s">
        <v>113</v>
      </c>
      <c r="AO69" s="3" t="s">
        <v>131</v>
      </c>
      <c r="AP69" s="3" t="s">
        <v>3661</v>
      </c>
      <c r="AQ69" s="3" t="s">
        <v>4070</v>
      </c>
      <c r="AR69" s="3" t="s">
        <v>3550</v>
      </c>
      <c r="AS69" s="3" t="s">
        <v>4585</v>
      </c>
      <c r="AT69" s="3" t="s">
        <v>4586</v>
      </c>
      <c r="AU69" s="3" t="s">
        <v>3575</v>
      </c>
      <c r="AV69" s="7">
        <v>0.128</v>
      </c>
      <c r="AY69" s="3" t="s">
        <v>3404</v>
      </c>
      <c r="BA69" s="3" t="s">
        <v>4587</v>
      </c>
      <c r="BB69" s="3" t="s">
        <v>4588</v>
      </c>
      <c r="BC69" s="3" t="s">
        <v>3448</v>
      </c>
      <c r="BD69" s="3" t="s">
        <v>4305</v>
      </c>
      <c r="BE69" s="3" t="s">
        <v>3649</v>
      </c>
      <c r="BF69" s="3" t="s">
        <v>3497</v>
      </c>
      <c r="BG69" s="3" t="s">
        <v>3429</v>
      </c>
      <c r="BH69" s="3" t="s">
        <v>3448</v>
      </c>
      <c r="BI69" s="3" t="s">
        <v>4164</v>
      </c>
      <c r="BJ69" s="3" t="s">
        <v>3466</v>
      </c>
      <c r="BK69" s="3" t="s">
        <v>3430</v>
      </c>
      <c r="BL69" s="3" t="s">
        <v>4184</v>
      </c>
      <c r="BM69" s="3" t="s">
        <v>4081</v>
      </c>
      <c r="BN69" s="3" t="s">
        <v>3515</v>
      </c>
      <c r="BO69" s="3">
        <v>1.0500000000000001E-2</v>
      </c>
      <c r="BP69" s="3">
        <v>1.0500000000000001E-2</v>
      </c>
      <c r="BQ69" s="3">
        <v>1.0500000000000001E-2</v>
      </c>
      <c r="BR69" s="3">
        <v>140</v>
      </c>
      <c r="BS69" s="3">
        <v>148</v>
      </c>
      <c r="BT69" s="3">
        <v>17</v>
      </c>
      <c r="BU69" s="3">
        <v>244</v>
      </c>
      <c r="BV69" s="3">
        <v>1108</v>
      </c>
      <c r="BW69" s="3">
        <v>331</v>
      </c>
      <c r="BX69" s="3">
        <v>1685</v>
      </c>
      <c r="BY69" s="3" t="s">
        <v>153</v>
      </c>
      <c r="BZ69" s="3" t="s">
        <v>153</v>
      </c>
      <c r="CA69" s="3">
        <v>0</v>
      </c>
      <c r="CB69" s="3" t="s">
        <v>2593</v>
      </c>
      <c r="CC69" s="3" t="s">
        <v>111</v>
      </c>
      <c r="CD69" s="3" t="s">
        <v>2593</v>
      </c>
      <c r="CE69" s="3" t="s">
        <v>111</v>
      </c>
      <c r="CF69" s="3">
        <v>5022</v>
      </c>
      <c r="CI69" s="3">
        <f t="shared" si="5"/>
        <v>0.17850000000000002</v>
      </c>
      <c r="CN69" s="3" t="s">
        <v>3404</v>
      </c>
      <c r="CO69" s="3" t="s">
        <v>4708</v>
      </c>
    </row>
    <row r="70" spans="1:93" x14ac:dyDescent="0.2">
      <c r="A70" s="3" t="s">
        <v>3405</v>
      </c>
      <c r="C70" s="5" t="s">
        <v>4726</v>
      </c>
      <c r="D70" s="5">
        <v>12</v>
      </c>
      <c r="E70" s="5" t="s">
        <v>4732</v>
      </c>
      <c r="G70" s="3" t="s">
        <v>4708</v>
      </c>
      <c r="H70" s="3">
        <v>17303</v>
      </c>
      <c r="I70" s="14">
        <v>44747.633333333331</v>
      </c>
      <c r="J70" s="14">
        <v>45159.76666666667</v>
      </c>
      <c r="K70" s="3" t="s">
        <v>2986</v>
      </c>
      <c r="L70" s="3" t="s">
        <v>111</v>
      </c>
      <c r="M70" s="3" t="s">
        <v>111</v>
      </c>
      <c r="N70" s="3" t="s">
        <v>111</v>
      </c>
      <c r="O70" s="3" t="s">
        <v>112</v>
      </c>
      <c r="P70" s="3" t="s">
        <v>2165</v>
      </c>
      <c r="Q70" s="3" t="s">
        <v>2166</v>
      </c>
      <c r="R70" s="3">
        <v>36</v>
      </c>
      <c r="S70" s="3" t="s">
        <v>2167</v>
      </c>
      <c r="T70" s="3">
        <v>0.8</v>
      </c>
      <c r="U70" s="3">
        <v>1</v>
      </c>
      <c r="V70" s="3">
        <v>270</v>
      </c>
      <c r="W70" s="3">
        <v>6</v>
      </c>
      <c r="X70" s="3">
        <v>8847</v>
      </c>
      <c r="Y70" s="3">
        <v>6.7900000000000002E-2</v>
      </c>
      <c r="Z70" s="3">
        <v>5.3600000000000002E-2</v>
      </c>
      <c r="AA70" s="3">
        <v>0.78979999999999995</v>
      </c>
      <c r="AB70" s="3" t="s">
        <v>113</v>
      </c>
      <c r="AC70" s="3" t="s">
        <v>4648</v>
      </c>
      <c r="AD70" s="3" t="s">
        <v>113</v>
      </c>
      <c r="AE70" s="3" t="s">
        <v>113</v>
      </c>
      <c r="AF70" s="3" t="s">
        <v>113</v>
      </c>
      <c r="AG70" s="3" t="s">
        <v>113</v>
      </c>
      <c r="AH70" s="3" t="s">
        <v>113</v>
      </c>
      <c r="AI70" s="3" t="s">
        <v>113</v>
      </c>
      <c r="AJ70" s="3">
        <v>770.95619999999997</v>
      </c>
      <c r="AK70" s="3" t="s">
        <v>4649</v>
      </c>
      <c r="AL70" s="3" t="s">
        <v>113</v>
      </c>
      <c r="AM70" s="3" t="s">
        <v>113</v>
      </c>
      <c r="AN70" s="3" t="s">
        <v>113</v>
      </c>
      <c r="AO70" s="3" t="s">
        <v>131</v>
      </c>
      <c r="AP70" s="3" t="s">
        <v>3714</v>
      </c>
      <c r="AQ70" s="3" t="s">
        <v>3533</v>
      </c>
      <c r="AR70" s="3" t="s">
        <v>3645</v>
      </c>
      <c r="AS70" s="3" t="s">
        <v>4650</v>
      </c>
      <c r="AT70" s="3" t="s">
        <v>4651</v>
      </c>
      <c r="AU70" s="3" t="s">
        <v>4652</v>
      </c>
      <c r="AV70" s="7">
        <v>0.108</v>
      </c>
      <c r="AY70" s="3" t="s">
        <v>3405</v>
      </c>
      <c r="BA70" s="3" t="s">
        <v>4653</v>
      </c>
      <c r="BB70" s="3" t="s">
        <v>4654</v>
      </c>
      <c r="BC70" s="3" t="s">
        <v>3657</v>
      </c>
      <c r="BD70" s="3" t="s">
        <v>3863</v>
      </c>
      <c r="BE70" s="3" t="s">
        <v>3728</v>
      </c>
      <c r="BF70" s="3" t="s">
        <v>3492</v>
      </c>
      <c r="BG70" s="3" t="s">
        <v>3584</v>
      </c>
      <c r="BH70" s="3" t="s">
        <v>3657</v>
      </c>
      <c r="BI70" s="3" t="s">
        <v>4260</v>
      </c>
      <c r="BJ70" s="3" t="s">
        <v>4129</v>
      </c>
      <c r="BK70" s="3" t="s">
        <v>3515</v>
      </c>
      <c r="BL70" s="3" t="s">
        <v>4655</v>
      </c>
      <c r="BM70" s="3" t="s">
        <v>4656</v>
      </c>
      <c r="BN70" s="3" t="s">
        <v>4406</v>
      </c>
      <c r="BO70" s="3">
        <v>1.0500000000000001E-2</v>
      </c>
      <c r="BP70" s="3">
        <v>1.0500000000000001E-2</v>
      </c>
      <c r="BQ70" s="3">
        <v>1.0500000000000001E-2</v>
      </c>
      <c r="BR70" s="3">
        <v>136</v>
      </c>
      <c r="BS70" s="3">
        <v>128</v>
      </c>
      <c r="BT70" s="3">
        <v>17</v>
      </c>
      <c r="BU70" s="3">
        <v>543</v>
      </c>
      <c r="BV70" s="3">
        <v>710</v>
      </c>
      <c r="BW70" s="3">
        <v>588</v>
      </c>
      <c r="BX70" s="3">
        <v>1126</v>
      </c>
      <c r="BY70" s="3" t="s">
        <v>153</v>
      </c>
      <c r="BZ70" s="3" t="s">
        <v>153</v>
      </c>
      <c r="CA70" s="3">
        <v>0</v>
      </c>
      <c r="CB70" s="3" t="s">
        <v>2990</v>
      </c>
      <c r="CC70" s="3" t="s">
        <v>111</v>
      </c>
      <c r="CD70" s="3" t="s">
        <v>2990</v>
      </c>
      <c r="CE70" s="3" t="s">
        <v>111</v>
      </c>
      <c r="CF70" s="3">
        <v>5022</v>
      </c>
      <c r="CI70" s="3">
        <f t="shared" si="5"/>
        <v>0.17850000000000002</v>
      </c>
      <c r="CN70" s="3" t="s">
        <v>3405</v>
      </c>
      <c r="CO70" s="3" t="s">
        <v>4708</v>
      </c>
    </row>
    <row r="71" spans="1:93" x14ac:dyDescent="0.2">
      <c r="A71" s="3" t="s">
        <v>3406</v>
      </c>
      <c r="C71" s="5" t="s">
        <v>4726</v>
      </c>
      <c r="D71" s="5">
        <v>12</v>
      </c>
      <c r="E71" s="5" t="s">
        <v>4732</v>
      </c>
      <c r="G71" s="3" t="s">
        <v>4708</v>
      </c>
      <c r="H71" s="3">
        <v>17303</v>
      </c>
      <c r="I71" s="14">
        <v>44747.633333333331</v>
      </c>
      <c r="J71" s="14">
        <v>45159.767361111109</v>
      </c>
      <c r="K71" s="3" t="s">
        <v>2986</v>
      </c>
      <c r="L71" s="3" t="s">
        <v>111</v>
      </c>
      <c r="M71" s="3" t="s">
        <v>111</v>
      </c>
      <c r="N71" s="3" t="s">
        <v>111</v>
      </c>
      <c r="O71" s="3" t="s">
        <v>112</v>
      </c>
      <c r="P71" s="3" t="s">
        <v>2165</v>
      </c>
      <c r="Q71" s="3" t="s">
        <v>2166</v>
      </c>
      <c r="R71" s="3">
        <v>36</v>
      </c>
      <c r="S71" s="3" t="s">
        <v>2167</v>
      </c>
      <c r="T71" s="3">
        <v>0.8</v>
      </c>
      <c r="U71" s="3">
        <v>1</v>
      </c>
      <c r="V71" s="3">
        <v>270</v>
      </c>
      <c r="W71" s="3">
        <v>6</v>
      </c>
      <c r="X71" s="3">
        <v>8847</v>
      </c>
      <c r="Y71" s="3">
        <v>5.5599999999999997E-2</v>
      </c>
      <c r="Z71" s="3">
        <v>5.0200000000000002E-2</v>
      </c>
      <c r="AA71" s="3">
        <v>0.90139999999999998</v>
      </c>
      <c r="AB71" s="3" t="s">
        <v>113</v>
      </c>
      <c r="AC71" s="3" t="s">
        <v>4657</v>
      </c>
      <c r="AD71" s="3" t="s">
        <v>113</v>
      </c>
      <c r="AE71" s="3" t="s">
        <v>113</v>
      </c>
      <c r="AF71" s="3" t="s">
        <v>113</v>
      </c>
      <c r="AG71" s="3" t="s">
        <v>113</v>
      </c>
      <c r="AH71" s="3" t="s">
        <v>113</v>
      </c>
      <c r="AI71" s="3" t="s">
        <v>113</v>
      </c>
      <c r="AJ71" s="3">
        <v>840.08159999999998</v>
      </c>
      <c r="AK71" s="3" t="s">
        <v>4658</v>
      </c>
      <c r="AL71" s="3" t="s">
        <v>113</v>
      </c>
      <c r="AM71" s="3" t="s">
        <v>113</v>
      </c>
      <c r="AN71" s="3" t="s">
        <v>113</v>
      </c>
      <c r="AO71" s="3" t="s">
        <v>131</v>
      </c>
      <c r="AP71" s="3" t="s">
        <v>4083</v>
      </c>
      <c r="AQ71" s="3" t="s">
        <v>4300</v>
      </c>
      <c r="AR71" s="3" t="s">
        <v>3830</v>
      </c>
      <c r="AS71" s="3" t="s">
        <v>4659</v>
      </c>
      <c r="AT71" s="3" t="s">
        <v>4660</v>
      </c>
      <c r="AU71" s="3" t="s">
        <v>4661</v>
      </c>
      <c r="AV71" s="7">
        <v>0.13700000000000001</v>
      </c>
      <c r="AY71" s="3" t="s">
        <v>3406</v>
      </c>
      <c r="BA71" s="3" t="s">
        <v>4160</v>
      </c>
      <c r="BB71" s="3" t="s">
        <v>4662</v>
      </c>
      <c r="BC71" s="3" t="s">
        <v>3541</v>
      </c>
      <c r="BD71" s="3" t="s">
        <v>3726</v>
      </c>
      <c r="BE71" s="3" t="s">
        <v>3697</v>
      </c>
      <c r="BF71" s="3" t="s">
        <v>3429</v>
      </c>
      <c r="BG71" s="3" t="s">
        <v>3430</v>
      </c>
      <c r="BH71" s="3" t="s">
        <v>3541</v>
      </c>
      <c r="BI71" s="3" t="s">
        <v>3976</v>
      </c>
      <c r="BJ71" s="3" t="s">
        <v>4251</v>
      </c>
      <c r="BK71" s="3" t="s">
        <v>3471</v>
      </c>
      <c r="BL71" s="3" t="s">
        <v>3725</v>
      </c>
      <c r="BM71" s="3" t="s">
        <v>3697</v>
      </c>
      <c r="BN71" s="3" t="s">
        <v>3584</v>
      </c>
      <c r="BO71" s="3">
        <v>1.0500000000000001E-2</v>
      </c>
      <c r="BP71" s="3">
        <v>1.0500000000000001E-2</v>
      </c>
      <c r="BQ71" s="3">
        <v>1.0500000000000001E-2</v>
      </c>
      <c r="BR71" s="3">
        <v>124</v>
      </c>
      <c r="BS71" s="3">
        <v>72</v>
      </c>
      <c r="BT71" s="3">
        <v>19</v>
      </c>
      <c r="BU71" s="3">
        <v>555</v>
      </c>
      <c r="BV71" s="3">
        <v>361</v>
      </c>
      <c r="BW71" s="3">
        <v>278</v>
      </c>
      <c r="BX71" s="3">
        <v>1126</v>
      </c>
      <c r="BY71" s="3" t="s">
        <v>153</v>
      </c>
      <c r="BZ71" s="3" t="s">
        <v>153</v>
      </c>
      <c r="CA71" s="3">
        <v>0</v>
      </c>
      <c r="CB71" s="3" t="s">
        <v>2990</v>
      </c>
      <c r="CC71" s="3" t="s">
        <v>111</v>
      </c>
      <c r="CD71" s="3" t="s">
        <v>2990</v>
      </c>
      <c r="CE71" s="3" t="s">
        <v>111</v>
      </c>
      <c r="CF71" s="3">
        <v>5022</v>
      </c>
      <c r="CI71" s="3">
        <f t="shared" si="5"/>
        <v>0.19950000000000001</v>
      </c>
      <c r="CN71" s="3" t="s">
        <v>3406</v>
      </c>
      <c r="CO71" s="3" t="s">
        <v>4708</v>
      </c>
    </row>
    <row r="72" spans="1:93" ht="16" x14ac:dyDescent="0.2">
      <c r="C72" s="4"/>
      <c r="D72" s="4"/>
    </row>
    <row r="74" spans="1:93" ht="3" customHeight="1" x14ac:dyDescent="0.2">
      <c r="A74" s="3" t="s">
        <v>3389</v>
      </c>
      <c r="E74" s="5" t="s">
        <v>4733</v>
      </c>
      <c r="G74" s="3" t="s">
        <v>4708</v>
      </c>
      <c r="H74" s="3">
        <v>17301</v>
      </c>
      <c r="I74" s="14">
        <v>44747.459027777775</v>
      </c>
      <c r="J74" s="14">
        <v>45156.652083333334</v>
      </c>
      <c r="K74" s="3" t="s">
        <v>2164</v>
      </c>
      <c r="L74" s="3" t="s">
        <v>111</v>
      </c>
      <c r="M74" s="3" t="s">
        <v>111</v>
      </c>
      <c r="N74" s="3" t="s">
        <v>111</v>
      </c>
      <c r="O74" s="3" t="s">
        <v>112</v>
      </c>
      <c r="P74" s="3" t="s">
        <v>2165</v>
      </c>
      <c r="Q74" s="3" t="s">
        <v>2166</v>
      </c>
      <c r="R74" s="3">
        <v>36</v>
      </c>
      <c r="S74" s="3" t="s">
        <v>2167</v>
      </c>
      <c r="T74" s="3">
        <v>0.8</v>
      </c>
      <c r="U74" s="3">
        <v>1</v>
      </c>
      <c r="V74" s="3">
        <v>270</v>
      </c>
      <c r="W74" s="3">
        <v>6</v>
      </c>
      <c r="X74" s="3">
        <v>8847</v>
      </c>
      <c r="Y74" s="3">
        <v>6.2100000000000002E-2</v>
      </c>
      <c r="Z74" s="3">
        <v>4.5900000000000003E-2</v>
      </c>
      <c r="AA74" s="3">
        <v>0.74019999999999997</v>
      </c>
      <c r="AB74" s="3" t="s">
        <v>113</v>
      </c>
      <c r="AC74" s="3" t="s">
        <v>4382</v>
      </c>
      <c r="AD74" s="3" t="s">
        <v>113</v>
      </c>
      <c r="AE74" s="3" t="s">
        <v>113</v>
      </c>
      <c r="AF74" s="3" t="s">
        <v>113</v>
      </c>
      <c r="AG74" s="3" t="s">
        <v>113</v>
      </c>
      <c r="AH74" s="3" t="s">
        <v>113</v>
      </c>
      <c r="AI74" s="3" t="s">
        <v>113</v>
      </c>
      <c r="AJ74" s="3">
        <v>685.25819999999999</v>
      </c>
      <c r="AK74" s="3" t="s">
        <v>4383</v>
      </c>
      <c r="AL74" s="3" t="s">
        <v>113</v>
      </c>
      <c r="AM74" s="3" t="s">
        <v>113</v>
      </c>
      <c r="AN74" s="3" t="s">
        <v>113</v>
      </c>
      <c r="AO74" s="3" t="s">
        <v>131</v>
      </c>
      <c r="AP74" s="3" t="s">
        <v>4384</v>
      </c>
      <c r="AQ74" s="3" t="s">
        <v>4177</v>
      </c>
      <c r="AR74" s="3" t="s">
        <v>4385</v>
      </c>
      <c r="AS74" s="3" t="s">
        <v>4386</v>
      </c>
      <c r="AT74" s="3" t="s">
        <v>4387</v>
      </c>
      <c r="AU74" s="3" t="s">
        <v>4388</v>
      </c>
      <c r="AV74" s="7">
        <v>0.11899999999999999</v>
      </c>
      <c r="AY74" s="3" t="s">
        <v>3389</v>
      </c>
      <c r="BA74" s="3" t="s">
        <v>4090</v>
      </c>
      <c r="BB74" s="3" t="s">
        <v>4389</v>
      </c>
      <c r="BC74" s="3" t="s">
        <v>3541</v>
      </c>
      <c r="BD74" s="3" t="s">
        <v>3673</v>
      </c>
      <c r="BE74" s="3" t="s">
        <v>3604</v>
      </c>
      <c r="BF74" s="3" t="s">
        <v>3532</v>
      </c>
      <c r="BG74" s="3" t="s">
        <v>3515</v>
      </c>
      <c r="BH74" s="3" t="s">
        <v>3541</v>
      </c>
      <c r="BI74" s="3" t="s">
        <v>3616</v>
      </c>
      <c r="BJ74" s="3" t="s">
        <v>3459</v>
      </c>
      <c r="BK74" s="3" t="s">
        <v>3429</v>
      </c>
      <c r="BL74" s="3" t="s">
        <v>3432</v>
      </c>
      <c r="BM74" s="3" t="s">
        <v>4020</v>
      </c>
      <c r="BN74" s="3" t="s">
        <v>3531</v>
      </c>
      <c r="BO74" s="3">
        <v>1.0500000000000001E-2</v>
      </c>
      <c r="BP74" s="3">
        <v>1.0500000000000001E-2</v>
      </c>
      <c r="BQ74" s="3">
        <v>1.0500000000000001E-2</v>
      </c>
      <c r="BR74" s="3">
        <v>92</v>
      </c>
      <c r="BS74" s="3">
        <v>112</v>
      </c>
      <c r="BT74" s="3">
        <v>16</v>
      </c>
      <c r="BU74" s="3">
        <v>190</v>
      </c>
      <c r="BV74" s="3">
        <v>652</v>
      </c>
      <c r="BW74" s="3">
        <v>259</v>
      </c>
      <c r="BX74" s="3">
        <v>1126</v>
      </c>
      <c r="BY74" s="3" t="s">
        <v>153</v>
      </c>
      <c r="BZ74" s="3" t="s">
        <v>153</v>
      </c>
      <c r="CA74" s="3">
        <v>0</v>
      </c>
      <c r="CB74" s="3" t="s">
        <v>2171</v>
      </c>
      <c r="CC74" s="3" t="s">
        <v>111</v>
      </c>
      <c r="CD74" s="3" t="s">
        <v>2171</v>
      </c>
      <c r="CE74" s="3" t="s">
        <v>111</v>
      </c>
      <c r="CF74" s="3">
        <v>5022</v>
      </c>
      <c r="CI74" s="3">
        <f t="shared" ref="CI74:CI79" si="6">BQ74*BT74</f>
        <v>0.16800000000000001</v>
      </c>
      <c r="CN74" s="3" t="s">
        <v>3389</v>
      </c>
      <c r="CO74" s="3" t="s">
        <v>4708</v>
      </c>
    </row>
    <row r="75" spans="1:93" x14ac:dyDescent="0.2">
      <c r="A75" s="3" t="s">
        <v>3390</v>
      </c>
      <c r="C75" s="5" t="s">
        <v>4727</v>
      </c>
      <c r="D75" s="5">
        <v>10</v>
      </c>
      <c r="E75" s="5" t="s">
        <v>4733</v>
      </c>
      <c r="G75" s="3" t="s">
        <v>4708</v>
      </c>
      <c r="H75" s="3">
        <v>17301</v>
      </c>
      <c r="I75" s="14">
        <v>44747.459027777775</v>
      </c>
      <c r="J75" s="14">
        <v>45156.65347222222</v>
      </c>
      <c r="K75" s="3" t="s">
        <v>2164</v>
      </c>
      <c r="L75" s="3" t="s">
        <v>111</v>
      </c>
      <c r="M75" s="3" t="s">
        <v>111</v>
      </c>
      <c r="N75" s="3" t="s">
        <v>111</v>
      </c>
      <c r="O75" s="3" t="s">
        <v>112</v>
      </c>
      <c r="P75" s="3" t="s">
        <v>2165</v>
      </c>
      <c r="Q75" s="3" t="s">
        <v>2166</v>
      </c>
      <c r="R75" s="3">
        <v>36</v>
      </c>
      <c r="S75" s="3" t="s">
        <v>2167</v>
      </c>
      <c r="T75" s="3">
        <v>0.8</v>
      </c>
      <c r="U75" s="3">
        <v>1</v>
      </c>
      <c r="V75" s="3">
        <v>270</v>
      </c>
      <c r="W75" s="3">
        <v>6</v>
      </c>
      <c r="X75" s="3">
        <v>8847</v>
      </c>
      <c r="Y75" s="3">
        <v>9.98E-2</v>
      </c>
      <c r="Z75" s="3">
        <v>8.0699999999999994E-2</v>
      </c>
      <c r="AA75" s="3">
        <v>0.80769999999999997</v>
      </c>
      <c r="AB75" s="3" t="s">
        <v>113</v>
      </c>
      <c r="AC75" s="3" t="s">
        <v>4390</v>
      </c>
      <c r="AD75" s="3" t="s">
        <v>113</v>
      </c>
      <c r="AE75" s="3" t="s">
        <v>113</v>
      </c>
      <c r="AF75" s="3" t="s">
        <v>113</v>
      </c>
      <c r="AG75" s="3" t="s">
        <v>113</v>
      </c>
      <c r="AH75" s="3" t="s">
        <v>113</v>
      </c>
      <c r="AI75" s="3" t="s">
        <v>113</v>
      </c>
      <c r="AJ75" s="3">
        <v>813.33280000000002</v>
      </c>
      <c r="AK75" s="3" t="s">
        <v>4391</v>
      </c>
      <c r="AL75" s="3" t="s">
        <v>113</v>
      </c>
      <c r="AM75" s="3" t="s">
        <v>113</v>
      </c>
      <c r="AN75" s="3" t="s">
        <v>113</v>
      </c>
      <c r="AO75" s="3" t="s">
        <v>131</v>
      </c>
      <c r="AP75" s="3" t="s">
        <v>4392</v>
      </c>
      <c r="AQ75" s="3" t="s">
        <v>3627</v>
      </c>
      <c r="AR75" s="3" t="s">
        <v>4393</v>
      </c>
      <c r="AS75" s="3" t="s">
        <v>4394</v>
      </c>
      <c r="AT75" s="3" t="s">
        <v>4395</v>
      </c>
      <c r="AU75" s="3" t="s">
        <v>4396</v>
      </c>
      <c r="AV75" s="7">
        <v>0.151</v>
      </c>
      <c r="AY75" s="3" t="s">
        <v>3390</v>
      </c>
      <c r="BA75" s="3" t="s">
        <v>4397</v>
      </c>
      <c r="BB75" s="3" t="s">
        <v>4398</v>
      </c>
      <c r="BC75" s="3" t="s">
        <v>3556</v>
      </c>
      <c r="BD75" s="3" t="s">
        <v>3585</v>
      </c>
      <c r="BE75" s="3" t="s">
        <v>3600</v>
      </c>
      <c r="BF75" s="3" t="s">
        <v>3474</v>
      </c>
      <c r="BG75" s="3" t="s">
        <v>3430</v>
      </c>
      <c r="BH75" s="3" t="s">
        <v>3556</v>
      </c>
      <c r="BI75" s="3" t="s">
        <v>4399</v>
      </c>
      <c r="BJ75" s="3" t="s">
        <v>3431</v>
      </c>
      <c r="BK75" s="3" t="s">
        <v>3477</v>
      </c>
      <c r="BL75" s="3" t="s">
        <v>4400</v>
      </c>
      <c r="BM75" s="3" t="s">
        <v>4122</v>
      </c>
      <c r="BN75" s="3" t="s">
        <v>3477</v>
      </c>
      <c r="BO75" s="3">
        <v>1.0500000000000001E-2</v>
      </c>
      <c r="BP75" s="3">
        <v>1.0500000000000001E-2</v>
      </c>
      <c r="BQ75" s="3">
        <v>1.0500000000000001E-2</v>
      </c>
      <c r="BR75" s="3">
        <v>132</v>
      </c>
      <c r="BS75" s="3">
        <v>132</v>
      </c>
      <c r="BT75" s="3">
        <v>25</v>
      </c>
      <c r="BU75" s="3">
        <v>569</v>
      </c>
      <c r="BV75" s="3">
        <v>363</v>
      </c>
      <c r="BW75" s="3">
        <v>599</v>
      </c>
      <c r="BX75" s="3">
        <v>1126</v>
      </c>
      <c r="BY75" s="3" t="s">
        <v>153</v>
      </c>
      <c r="BZ75" s="3" t="s">
        <v>153</v>
      </c>
      <c r="CA75" s="3">
        <v>0</v>
      </c>
      <c r="CB75" s="3" t="s">
        <v>2171</v>
      </c>
      <c r="CC75" s="3" t="s">
        <v>111</v>
      </c>
      <c r="CD75" s="3" t="s">
        <v>2171</v>
      </c>
      <c r="CE75" s="3" t="s">
        <v>111</v>
      </c>
      <c r="CF75" s="3">
        <v>5022</v>
      </c>
      <c r="CI75" s="3">
        <f t="shared" si="6"/>
        <v>0.26250000000000001</v>
      </c>
      <c r="CN75" s="3" t="s">
        <v>3390</v>
      </c>
      <c r="CO75" s="3" t="s">
        <v>4708</v>
      </c>
    </row>
    <row r="76" spans="1:93" x14ac:dyDescent="0.2">
      <c r="A76" s="3" t="s">
        <v>3391</v>
      </c>
      <c r="C76" s="5" t="s">
        <v>4727</v>
      </c>
      <c r="D76" s="5">
        <v>10</v>
      </c>
      <c r="E76" s="5" t="s">
        <v>4733</v>
      </c>
      <c r="G76" s="3" t="s">
        <v>4708</v>
      </c>
      <c r="H76" s="3">
        <v>17301</v>
      </c>
      <c r="I76" s="14">
        <v>44747.459027777775</v>
      </c>
      <c r="J76" s="14">
        <v>45156.654861111114</v>
      </c>
      <c r="K76" s="3" t="s">
        <v>2164</v>
      </c>
      <c r="L76" s="3" t="s">
        <v>111</v>
      </c>
      <c r="M76" s="3" t="s">
        <v>111</v>
      </c>
      <c r="N76" s="3" t="s">
        <v>111</v>
      </c>
      <c r="O76" s="3" t="s">
        <v>112</v>
      </c>
      <c r="P76" s="3" t="s">
        <v>2165</v>
      </c>
      <c r="Q76" s="3" t="s">
        <v>2166</v>
      </c>
      <c r="R76" s="3">
        <v>36</v>
      </c>
      <c r="S76" s="3" t="s">
        <v>2167</v>
      </c>
      <c r="T76" s="3">
        <v>0.8</v>
      </c>
      <c r="U76" s="3">
        <v>1</v>
      </c>
      <c r="V76" s="3">
        <v>270</v>
      </c>
      <c r="W76" s="3">
        <v>6</v>
      </c>
      <c r="X76" s="3">
        <v>8847</v>
      </c>
      <c r="Y76" s="3">
        <v>9.7299999999999998E-2</v>
      </c>
      <c r="Z76" s="3">
        <v>7.3200000000000001E-2</v>
      </c>
      <c r="AA76" s="3">
        <v>0.75170000000000003</v>
      </c>
      <c r="AB76" s="3" t="s">
        <v>113</v>
      </c>
      <c r="AC76" s="3" t="s">
        <v>4401</v>
      </c>
      <c r="AD76" s="3" t="s">
        <v>113</v>
      </c>
      <c r="AE76" s="3" t="s">
        <v>113</v>
      </c>
      <c r="AF76" s="3" t="s">
        <v>113</v>
      </c>
      <c r="AG76" s="3" t="s">
        <v>113</v>
      </c>
      <c r="AH76" s="3" t="s">
        <v>113</v>
      </c>
      <c r="AI76" s="3" t="s">
        <v>113</v>
      </c>
      <c r="AJ76" s="3">
        <v>764.19629999999995</v>
      </c>
      <c r="AK76" s="3" t="s">
        <v>2855</v>
      </c>
      <c r="AL76" s="3" t="s">
        <v>113</v>
      </c>
      <c r="AM76" s="3" t="s">
        <v>113</v>
      </c>
      <c r="AN76" s="3" t="s">
        <v>113</v>
      </c>
      <c r="AO76" s="3" t="s">
        <v>131</v>
      </c>
      <c r="AP76" s="3" t="s">
        <v>3522</v>
      </c>
      <c r="AQ76" s="3" t="s">
        <v>4158</v>
      </c>
      <c r="AR76" s="3" t="s">
        <v>3678</v>
      </c>
      <c r="AS76" s="3" t="s">
        <v>3845</v>
      </c>
      <c r="AT76" s="3" t="s">
        <v>4402</v>
      </c>
      <c r="AU76" s="3" t="s">
        <v>4403</v>
      </c>
      <c r="AV76" s="7">
        <v>0.11</v>
      </c>
      <c r="AY76" s="3" t="s">
        <v>3391</v>
      </c>
      <c r="BA76" s="3" t="s">
        <v>3863</v>
      </c>
      <c r="BB76" s="3" t="s">
        <v>4404</v>
      </c>
      <c r="BC76" s="3" t="s">
        <v>3657</v>
      </c>
      <c r="BD76" s="3" t="s">
        <v>4138</v>
      </c>
      <c r="BE76" s="3" t="s">
        <v>3461</v>
      </c>
      <c r="BF76" s="3" t="s">
        <v>3430</v>
      </c>
      <c r="BG76" s="3" t="s">
        <v>3429</v>
      </c>
      <c r="BH76" s="3" t="s">
        <v>3657</v>
      </c>
      <c r="BI76" s="3" t="s">
        <v>3481</v>
      </c>
      <c r="BJ76" s="3" t="s">
        <v>3487</v>
      </c>
      <c r="BK76" s="3" t="s">
        <v>3429</v>
      </c>
      <c r="BL76" s="3" t="s">
        <v>4405</v>
      </c>
      <c r="BM76" s="3" t="s">
        <v>3569</v>
      </c>
      <c r="BN76" s="3" t="s">
        <v>4406</v>
      </c>
      <c r="BO76" s="3">
        <v>1.0500000000000001E-2</v>
      </c>
      <c r="BP76" s="3">
        <v>1.0500000000000001E-2</v>
      </c>
      <c r="BQ76" s="3">
        <v>1.0500000000000001E-2</v>
      </c>
      <c r="BR76" s="3">
        <v>140</v>
      </c>
      <c r="BS76" s="3">
        <v>132</v>
      </c>
      <c r="BT76" s="3">
        <v>15</v>
      </c>
      <c r="BU76" s="3">
        <v>1119</v>
      </c>
      <c r="BV76" s="3">
        <v>258</v>
      </c>
      <c r="BW76" s="3">
        <v>836</v>
      </c>
      <c r="BX76" s="3">
        <v>1126</v>
      </c>
      <c r="BY76" s="3" t="s">
        <v>153</v>
      </c>
      <c r="BZ76" s="3" t="s">
        <v>153</v>
      </c>
      <c r="CA76" s="3">
        <v>0</v>
      </c>
      <c r="CB76" s="3" t="s">
        <v>2171</v>
      </c>
      <c r="CC76" s="3" t="s">
        <v>111</v>
      </c>
      <c r="CD76" s="3" t="s">
        <v>2171</v>
      </c>
      <c r="CE76" s="3" t="s">
        <v>111</v>
      </c>
      <c r="CF76" s="3">
        <v>5022</v>
      </c>
      <c r="CI76" s="3">
        <f t="shared" si="6"/>
        <v>0.1575</v>
      </c>
      <c r="CN76" s="3" t="s">
        <v>3391</v>
      </c>
      <c r="CO76" s="3" t="s">
        <v>4708</v>
      </c>
    </row>
    <row r="77" spans="1:93" x14ac:dyDescent="0.2">
      <c r="A77" s="3" t="s">
        <v>3392</v>
      </c>
      <c r="C77" s="5" t="s">
        <v>4727</v>
      </c>
      <c r="D77" s="5">
        <v>12</v>
      </c>
      <c r="E77" s="5" t="s">
        <v>4733</v>
      </c>
      <c r="G77" s="3" t="s">
        <v>4708</v>
      </c>
      <c r="H77" s="3">
        <v>17301</v>
      </c>
      <c r="I77" s="14">
        <v>44747.459027777775</v>
      </c>
      <c r="J77" s="14">
        <v>45156.65625</v>
      </c>
      <c r="K77" s="3" t="s">
        <v>2164</v>
      </c>
      <c r="L77" s="3" t="s">
        <v>111</v>
      </c>
      <c r="M77" s="3" t="s">
        <v>111</v>
      </c>
      <c r="N77" s="3" t="s">
        <v>111</v>
      </c>
      <c r="O77" s="3" t="s">
        <v>112</v>
      </c>
      <c r="P77" s="3" t="s">
        <v>2165</v>
      </c>
      <c r="Q77" s="3" t="s">
        <v>2166</v>
      </c>
      <c r="R77" s="3">
        <v>36</v>
      </c>
      <c r="S77" s="3" t="s">
        <v>2167</v>
      </c>
      <c r="T77" s="3">
        <v>0.8</v>
      </c>
      <c r="U77" s="3">
        <v>1</v>
      </c>
      <c r="V77" s="3">
        <v>270</v>
      </c>
      <c r="W77" s="3">
        <v>6</v>
      </c>
      <c r="X77" s="3">
        <v>8847</v>
      </c>
      <c r="Y77" s="3">
        <v>0.1169</v>
      </c>
      <c r="Z77" s="3">
        <v>9.4600000000000004E-2</v>
      </c>
      <c r="AA77" s="3">
        <v>0.80969999999999998</v>
      </c>
      <c r="AB77" s="3" t="s">
        <v>113</v>
      </c>
      <c r="AC77" s="3" t="s">
        <v>4407</v>
      </c>
      <c r="AD77" s="3" t="s">
        <v>113</v>
      </c>
      <c r="AE77" s="3" t="s">
        <v>113</v>
      </c>
      <c r="AF77" s="3" t="s">
        <v>113</v>
      </c>
      <c r="AG77" s="3" t="s">
        <v>113</v>
      </c>
      <c r="AH77" s="3" t="s">
        <v>113</v>
      </c>
      <c r="AI77" s="3" t="s">
        <v>113</v>
      </c>
      <c r="AJ77" s="3">
        <v>823.58159999999998</v>
      </c>
      <c r="AK77" s="3" t="s">
        <v>4408</v>
      </c>
      <c r="AL77" s="3" t="s">
        <v>113</v>
      </c>
      <c r="AM77" s="3" t="s">
        <v>113</v>
      </c>
      <c r="AN77" s="3" t="s">
        <v>113</v>
      </c>
      <c r="AO77" s="3" t="s">
        <v>131</v>
      </c>
      <c r="AP77" s="3" t="s">
        <v>3741</v>
      </c>
      <c r="AQ77" s="3" t="s">
        <v>3440</v>
      </c>
      <c r="AR77" s="3" t="s">
        <v>3740</v>
      </c>
      <c r="AS77" s="3" t="s">
        <v>3719</v>
      </c>
      <c r="AT77" s="3" t="s">
        <v>4409</v>
      </c>
      <c r="AU77" s="3" t="s">
        <v>4410</v>
      </c>
      <c r="AV77" s="7">
        <v>0.13</v>
      </c>
      <c r="AY77" s="3" t="s">
        <v>3392</v>
      </c>
      <c r="BA77" s="3" t="s">
        <v>4019</v>
      </c>
      <c r="BB77" s="3" t="s">
        <v>4411</v>
      </c>
      <c r="BC77" s="3" t="s">
        <v>3989</v>
      </c>
      <c r="BD77" s="3" t="s">
        <v>4412</v>
      </c>
      <c r="BE77" s="3" t="s">
        <v>3780</v>
      </c>
      <c r="BF77" s="3" t="s">
        <v>3474</v>
      </c>
      <c r="BG77" s="3" t="s">
        <v>3433</v>
      </c>
      <c r="BH77" s="3" t="s">
        <v>3989</v>
      </c>
      <c r="BI77" s="3" t="s">
        <v>3513</v>
      </c>
      <c r="BJ77" s="3" t="s">
        <v>4413</v>
      </c>
      <c r="BK77" s="3" t="s">
        <v>3430</v>
      </c>
      <c r="BL77" s="3" t="s">
        <v>4414</v>
      </c>
      <c r="BM77" s="3" t="s">
        <v>3498</v>
      </c>
      <c r="BN77" s="3" t="s">
        <v>4087</v>
      </c>
      <c r="BO77" s="3">
        <v>1.0500000000000001E-2</v>
      </c>
      <c r="BP77" s="3">
        <v>1.0500000000000001E-2</v>
      </c>
      <c r="BQ77" s="3">
        <v>1.0500000000000001E-2</v>
      </c>
      <c r="BR77" s="3">
        <v>140</v>
      </c>
      <c r="BS77" s="3">
        <v>128</v>
      </c>
      <c r="BT77" s="3">
        <v>16</v>
      </c>
      <c r="BU77" s="3">
        <v>1414</v>
      </c>
      <c r="BV77" s="3">
        <v>522</v>
      </c>
      <c r="BW77" s="3">
        <v>528</v>
      </c>
      <c r="BX77" s="3">
        <v>1126</v>
      </c>
      <c r="BY77" s="3" t="s">
        <v>153</v>
      </c>
      <c r="BZ77" s="3" t="s">
        <v>153</v>
      </c>
      <c r="CA77" s="3">
        <v>0</v>
      </c>
      <c r="CB77" s="3" t="s">
        <v>2171</v>
      </c>
      <c r="CC77" s="3" t="s">
        <v>111</v>
      </c>
      <c r="CD77" s="3" t="s">
        <v>2171</v>
      </c>
      <c r="CE77" s="3" t="s">
        <v>111</v>
      </c>
      <c r="CF77" s="3">
        <v>5022</v>
      </c>
      <c r="CI77" s="3">
        <f t="shared" si="6"/>
        <v>0.16800000000000001</v>
      </c>
      <c r="CN77" s="3" t="s">
        <v>3392</v>
      </c>
      <c r="CO77" s="3" t="s">
        <v>4708</v>
      </c>
    </row>
    <row r="78" spans="1:93" x14ac:dyDescent="0.2">
      <c r="A78" s="3" t="s">
        <v>3393</v>
      </c>
      <c r="C78" s="5" t="s">
        <v>4726</v>
      </c>
      <c r="D78" s="5">
        <v>12</v>
      </c>
      <c r="E78" s="5" t="s">
        <v>4733</v>
      </c>
      <c r="G78" s="3" t="s">
        <v>4708</v>
      </c>
      <c r="H78" s="3">
        <v>17301</v>
      </c>
      <c r="I78" s="14">
        <v>44747.459027777775</v>
      </c>
      <c r="J78" s="14">
        <v>45156.656944444447</v>
      </c>
      <c r="K78" s="3" t="s">
        <v>2164</v>
      </c>
      <c r="L78" s="3" t="s">
        <v>111</v>
      </c>
      <c r="M78" s="3" t="s">
        <v>111</v>
      </c>
      <c r="N78" s="3" t="s">
        <v>111</v>
      </c>
      <c r="O78" s="3" t="s">
        <v>112</v>
      </c>
      <c r="P78" s="3" t="s">
        <v>2165</v>
      </c>
      <c r="Q78" s="3" t="s">
        <v>2166</v>
      </c>
      <c r="R78" s="3">
        <v>36</v>
      </c>
      <c r="S78" s="3" t="s">
        <v>2167</v>
      </c>
      <c r="T78" s="3">
        <v>0.8</v>
      </c>
      <c r="U78" s="3">
        <v>1</v>
      </c>
      <c r="V78" s="3">
        <v>270</v>
      </c>
      <c r="W78" s="3">
        <v>6</v>
      </c>
      <c r="X78" s="3">
        <v>8847</v>
      </c>
      <c r="Y78" s="3">
        <v>7.6700000000000004E-2</v>
      </c>
      <c r="Z78" s="3">
        <v>6.2199999999999998E-2</v>
      </c>
      <c r="AA78" s="3">
        <v>0.81120000000000003</v>
      </c>
      <c r="AB78" s="3" t="s">
        <v>113</v>
      </c>
      <c r="AC78" s="3" t="s">
        <v>4415</v>
      </c>
      <c r="AD78" s="3" t="s">
        <v>113</v>
      </c>
      <c r="AE78" s="3" t="s">
        <v>113</v>
      </c>
      <c r="AF78" s="3" t="s">
        <v>113</v>
      </c>
      <c r="AG78" s="3" t="s">
        <v>113</v>
      </c>
      <c r="AH78" s="3" t="s">
        <v>113</v>
      </c>
      <c r="AI78" s="3" t="s">
        <v>113</v>
      </c>
      <c r="AJ78" s="3">
        <v>805.19179999999994</v>
      </c>
      <c r="AK78" s="3" t="s">
        <v>4416</v>
      </c>
      <c r="AL78" s="3" t="s">
        <v>113</v>
      </c>
      <c r="AM78" s="3" t="s">
        <v>113</v>
      </c>
      <c r="AN78" s="3" t="s">
        <v>113</v>
      </c>
      <c r="AO78" s="3" t="s">
        <v>131</v>
      </c>
      <c r="AP78" s="3" t="s">
        <v>4417</v>
      </c>
      <c r="AQ78" s="3" t="s">
        <v>4263</v>
      </c>
      <c r="AR78" s="3" t="s">
        <v>3854</v>
      </c>
      <c r="AS78" s="3" t="s">
        <v>4418</v>
      </c>
      <c r="AT78" s="3" t="s">
        <v>4419</v>
      </c>
      <c r="AU78" s="3" t="s">
        <v>4011</v>
      </c>
      <c r="AV78" s="7">
        <v>0.153</v>
      </c>
      <c r="AY78" s="3" t="s">
        <v>3393</v>
      </c>
      <c r="BA78" s="3" t="s">
        <v>4378</v>
      </c>
      <c r="BB78" s="3" t="s">
        <v>4420</v>
      </c>
      <c r="BC78" s="3" t="s">
        <v>4257</v>
      </c>
      <c r="BD78" s="3" t="s">
        <v>4117</v>
      </c>
      <c r="BE78" s="3" t="s">
        <v>3600</v>
      </c>
      <c r="BF78" s="3" t="s">
        <v>3566</v>
      </c>
      <c r="BG78" s="3" t="s">
        <v>4421</v>
      </c>
      <c r="BH78" s="3" t="s">
        <v>3653</v>
      </c>
      <c r="BI78" s="3" t="s">
        <v>4422</v>
      </c>
      <c r="BJ78" s="3" t="s">
        <v>4423</v>
      </c>
      <c r="BK78" s="3" t="s">
        <v>3903</v>
      </c>
      <c r="BL78" s="3" t="s">
        <v>4249</v>
      </c>
      <c r="BM78" s="3" t="s">
        <v>3459</v>
      </c>
      <c r="BN78" s="3" t="s">
        <v>4424</v>
      </c>
      <c r="BO78" s="3">
        <v>1.0500000000000001E-2</v>
      </c>
      <c r="BP78" s="3">
        <v>1.0500000000000001E-2</v>
      </c>
      <c r="BQ78" s="3">
        <v>1.0500000000000001E-2</v>
      </c>
      <c r="BR78" s="3">
        <v>116</v>
      </c>
      <c r="BS78" s="3">
        <v>96</v>
      </c>
      <c r="BT78" s="3">
        <v>19</v>
      </c>
      <c r="BU78" s="3">
        <v>1508</v>
      </c>
      <c r="BV78" s="3">
        <v>1171</v>
      </c>
      <c r="BW78" s="3">
        <v>498</v>
      </c>
      <c r="BX78" s="3">
        <v>1126</v>
      </c>
      <c r="BY78" s="3" t="s">
        <v>153</v>
      </c>
      <c r="BZ78" s="3" t="s">
        <v>153</v>
      </c>
      <c r="CA78" s="3">
        <v>0</v>
      </c>
      <c r="CB78" s="3" t="s">
        <v>2171</v>
      </c>
      <c r="CC78" s="3" t="s">
        <v>111</v>
      </c>
      <c r="CD78" s="3" t="s">
        <v>2171</v>
      </c>
      <c r="CE78" s="3" t="s">
        <v>111</v>
      </c>
      <c r="CF78" s="3">
        <v>5022</v>
      </c>
      <c r="CI78" s="3">
        <f t="shared" si="6"/>
        <v>0.19950000000000001</v>
      </c>
      <c r="CN78" s="3" t="s">
        <v>3393</v>
      </c>
      <c r="CO78" s="3" t="s">
        <v>4708</v>
      </c>
    </row>
    <row r="79" spans="1:93" x14ac:dyDescent="0.2">
      <c r="A79" s="3" t="s">
        <v>3394</v>
      </c>
      <c r="C79" s="5" t="s">
        <v>4726</v>
      </c>
      <c r="D79" s="5">
        <v>12</v>
      </c>
      <c r="E79" s="5" t="s">
        <v>4733</v>
      </c>
      <c r="G79" s="3" t="s">
        <v>4708</v>
      </c>
      <c r="H79" s="3">
        <v>17301</v>
      </c>
      <c r="I79" s="14">
        <v>44747.459027777775</v>
      </c>
      <c r="J79" s="14">
        <v>45156.658333333333</v>
      </c>
      <c r="K79" s="3" t="s">
        <v>2164</v>
      </c>
      <c r="L79" s="3" t="s">
        <v>111</v>
      </c>
      <c r="M79" s="3" t="s">
        <v>111</v>
      </c>
      <c r="N79" s="3" t="s">
        <v>111</v>
      </c>
      <c r="O79" s="3" t="s">
        <v>112</v>
      </c>
      <c r="P79" s="3" t="s">
        <v>2165</v>
      </c>
      <c r="Q79" s="3" t="s">
        <v>2166</v>
      </c>
      <c r="R79" s="3">
        <v>36</v>
      </c>
      <c r="S79" s="3" t="s">
        <v>2167</v>
      </c>
      <c r="T79" s="3">
        <v>0.8</v>
      </c>
      <c r="U79" s="3">
        <v>1</v>
      </c>
      <c r="V79" s="3">
        <v>270</v>
      </c>
      <c r="W79" s="3">
        <v>6</v>
      </c>
      <c r="X79" s="3">
        <v>8847</v>
      </c>
      <c r="Y79" s="3">
        <v>9.5100000000000004E-2</v>
      </c>
      <c r="Z79" s="3">
        <v>7.6700000000000004E-2</v>
      </c>
      <c r="AA79" s="3">
        <v>0.80720000000000003</v>
      </c>
      <c r="AB79" s="3" t="s">
        <v>113</v>
      </c>
      <c r="AC79" s="3" t="s">
        <v>3975</v>
      </c>
      <c r="AD79" s="3" t="s">
        <v>113</v>
      </c>
      <c r="AE79" s="3" t="s">
        <v>113</v>
      </c>
      <c r="AF79" s="3" t="s">
        <v>113</v>
      </c>
      <c r="AG79" s="3" t="s">
        <v>113</v>
      </c>
      <c r="AH79" s="3" t="s">
        <v>113</v>
      </c>
      <c r="AI79" s="3" t="s">
        <v>113</v>
      </c>
      <c r="AJ79" s="3">
        <v>766.15890000000002</v>
      </c>
      <c r="AK79" s="3" t="s">
        <v>3354</v>
      </c>
      <c r="AL79" s="3" t="s">
        <v>113</v>
      </c>
      <c r="AM79" s="3" t="s">
        <v>113</v>
      </c>
      <c r="AN79" s="3" t="s">
        <v>113</v>
      </c>
      <c r="AO79" s="3" t="s">
        <v>131</v>
      </c>
      <c r="AP79" s="3" t="s">
        <v>3705</v>
      </c>
      <c r="AQ79" s="3" t="s">
        <v>3761</v>
      </c>
      <c r="AR79" s="3" t="s">
        <v>4425</v>
      </c>
      <c r="AS79" s="3" t="s">
        <v>4426</v>
      </c>
      <c r="AT79" s="3" t="s">
        <v>4427</v>
      </c>
      <c r="AU79" s="3" t="s">
        <v>4428</v>
      </c>
      <c r="AV79" s="7">
        <v>0.121</v>
      </c>
      <c r="AY79" s="3" t="s">
        <v>3394</v>
      </c>
      <c r="BA79" s="3" t="s">
        <v>4429</v>
      </c>
      <c r="BB79" s="3" t="s">
        <v>4430</v>
      </c>
      <c r="BC79" s="3" t="s">
        <v>3440</v>
      </c>
      <c r="BD79" s="3" t="s">
        <v>4431</v>
      </c>
      <c r="BE79" s="3" t="s">
        <v>3664</v>
      </c>
      <c r="BF79" s="3" t="s">
        <v>3497</v>
      </c>
      <c r="BG79" s="3" t="s">
        <v>3429</v>
      </c>
      <c r="BH79" s="3" t="s">
        <v>3440</v>
      </c>
      <c r="BI79" s="3" t="s">
        <v>3493</v>
      </c>
      <c r="BJ79" s="3" t="s">
        <v>4432</v>
      </c>
      <c r="BK79" s="3" t="s">
        <v>3566</v>
      </c>
      <c r="BL79" s="3" t="s">
        <v>3940</v>
      </c>
      <c r="BM79" s="3" t="s">
        <v>4433</v>
      </c>
      <c r="BN79" s="3" t="s">
        <v>3584</v>
      </c>
      <c r="BO79" s="3">
        <v>1.0500000000000001E-2</v>
      </c>
      <c r="BP79" s="3">
        <v>1.0500000000000001E-2</v>
      </c>
      <c r="BQ79" s="3">
        <v>1.0500000000000001E-2</v>
      </c>
      <c r="BR79" s="3">
        <v>140</v>
      </c>
      <c r="BS79" s="3">
        <v>144</v>
      </c>
      <c r="BT79" s="3">
        <v>20</v>
      </c>
      <c r="BU79" s="3">
        <v>1069</v>
      </c>
      <c r="BV79" s="3">
        <v>1568</v>
      </c>
      <c r="BW79" s="3">
        <v>466</v>
      </c>
      <c r="BX79" s="3">
        <v>1126</v>
      </c>
      <c r="BY79" s="3" t="s">
        <v>153</v>
      </c>
      <c r="BZ79" s="3" t="s">
        <v>153</v>
      </c>
      <c r="CA79" s="3">
        <v>0</v>
      </c>
      <c r="CB79" s="3" t="s">
        <v>2171</v>
      </c>
      <c r="CC79" s="3" t="s">
        <v>111</v>
      </c>
      <c r="CD79" s="3" t="s">
        <v>2171</v>
      </c>
      <c r="CE79" s="3" t="s">
        <v>111</v>
      </c>
      <c r="CF79" s="3">
        <v>5022</v>
      </c>
      <c r="CI79" s="3">
        <f t="shared" si="6"/>
        <v>0.21000000000000002</v>
      </c>
      <c r="CN79" s="3" t="s">
        <v>3394</v>
      </c>
      <c r="CO79" s="3" t="s">
        <v>4708</v>
      </c>
    </row>
    <row r="80" spans="1:93" x14ac:dyDescent="0.2">
      <c r="C80" s="5" t="s">
        <v>4726</v>
      </c>
      <c r="D80" s="5">
        <v>12</v>
      </c>
      <c r="E80" s="5" t="s">
        <v>4733</v>
      </c>
    </row>
    <row r="81" spans="1:93" x14ac:dyDescent="0.2">
      <c r="CH81" s="3" t="s">
        <v>4721</v>
      </c>
      <c r="CI81" s="3">
        <f>_xlfn.T.TEST(CI75:CI79,CI63:CI71,2,3)</f>
        <v>0.96128706653148477</v>
      </c>
    </row>
    <row r="83" spans="1:93" ht="16" x14ac:dyDescent="0.2">
      <c r="A83" s="3" t="s">
        <v>3355</v>
      </c>
      <c r="C83" s="4" t="s">
        <v>4726</v>
      </c>
      <c r="D83" s="4">
        <v>12</v>
      </c>
      <c r="E83" s="5" t="s">
        <v>4734</v>
      </c>
      <c r="G83" s="3" t="s">
        <v>4708</v>
      </c>
      <c r="H83" s="3">
        <v>18033</v>
      </c>
      <c r="I83" s="14">
        <v>45155.804861111108</v>
      </c>
      <c r="J83" s="14">
        <v>45161.837500000001</v>
      </c>
      <c r="K83" s="3" t="s">
        <v>110</v>
      </c>
      <c r="L83" s="3" t="s">
        <v>111</v>
      </c>
      <c r="M83" s="3" t="s">
        <v>111</v>
      </c>
      <c r="N83" s="3" t="s">
        <v>111</v>
      </c>
      <c r="O83" s="3" t="s">
        <v>112</v>
      </c>
      <c r="P83" s="3" t="s">
        <v>113</v>
      </c>
      <c r="Q83" s="3" t="s">
        <v>113</v>
      </c>
      <c r="R83" s="3">
        <v>0</v>
      </c>
      <c r="S83" s="3" t="s">
        <v>113</v>
      </c>
      <c r="T83" s="3">
        <v>0.8</v>
      </c>
      <c r="U83" s="3">
        <v>1</v>
      </c>
      <c r="V83" s="3">
        <v>270</v>
      </c>
      <c r="W83" s="3">
        <v>6</v>
      </c>
      <c r="X83" s="3">
        <v>8847</v>
      </c>
      <c r="Y83" s="3">
        <v>0.1022</v>
      </c>
      <c r="Z83" s="3">
        <v>9.4299999999999995E-2</v>
      </c>
      <c r="AA83" s="3">
        <v>0.92330000000000001</v>
      </c>
      <c r="AB83" s="3" t="s">
        <v>113</v>
      </c>
      <c r="AC83" s="3" t="s">
        <v>3437</v>
      </c>
      <c r="AD83" s="3" t="s">
        <v>113</v>
      </c>
      <c r="AE83" s="3" t="s">
        <v>113</v>
      </c>
      <c r="AF83" s="3" t="s">
        <v>113</v>
      </c>
      <c r="AG83" s="3" t="s">
        <v>113</v>
      </c>
      <c r="AH83" s="3" t="s">
        <v>113</v>
      </c>
      <c r="AI83" s="3" t="s">
        <v>113</v>
      </c>
      <c r="AJ83" s="3">
        <v>858.18060000000003</v>
      </c>
      <c r="AK83" s="3" t="s">
        <v>3438</v>
      </c>
      <c r="AL83" s="3" t="s">
        <v>113</v>
      </c>
      <c r="AM83" s="3" t="s">
        <v>113</v>
      </c>
      <c r="AN83" s="3" t="s">
        <v>113</v>
      </c>
      <c r="AO83" s="3" t="s">
        <v>131</v>
      </c>
      <c r="AP83" s="3" t="s">
        <v>3439</v>
      </c>
      <c r="AQ83" s="3" t="s">
        <v>3440</v>
      </c>
      <c r="AR83" s="3" t="s">
        <v>3441</v>
      </c>
      <c r="AS83" s="3" t="s">
        <v>3442</v>
      </c>
      <c r="AT83" s="3" t="s">
        <v>3443</v>
      </c>
      <c r="AU83" s="3" t="s">
        <v>3444</v>
      </c>
      <c r="AV83" s="7">
        <v>0.13500000000000001</v>
      </c>
      <c r="AY83" s="3" t="s">
        <v>3355</v>
      </c>
      <c r="BA83" s="3" t="s">
        <v>3446</v>
      </c>
      <c r="BB83" s="3" t="s">
        <v>3447</v>
      </c>
      <c r="BC83" s="3" t="s">
        <v>3448</v>
      </c>
      <c r="BD83" s="3" t="s">
        <v>3449</v>
      </c>
      <c r="BE83" s="3" t="s">
        <v>3450</v>
      </c>
      <c r="BF83" s="3" t="s">
        <v>3430</v>
      </c>
      <c r="BG83" s="3" t="s">
        <v>3451</v>
      </c>
      <c r="BH83" s="3" t="s">
        <v>3448</v>
      </c>
      <c r="BI83" s="3" t="s">
        <v>3452</v>
      </c>
      <c r="BJ83" s="3" t="s">
        <v>3453</v>
      </c>
      <c r="BK83" s="3" t="s">
        <v>3451</v>
      </c>
      <c r="BL83" s="3" t="s">
        <v>3454</v>
      </c>
      <c r="BM83" s="3" t="s">
        <v>3455</v>
      </c>
      <c r="BN83" s="3" t="s">
        <v>3456</v>
      </c>
      <c r="BO83" s="3">
        <v>1.0500000000000001E-2</v>
      </c>
      <c r="BP83" s="3">
        <v>1.0500000000000001E-2</v>
      </c>
      <c r="BQ83" s="3">
        <v>1.0500000000000001E-2</v>
      </c>
      <c r="BR83" s="3">
        <v>132</v>
      </c>
      <c r="BS83" s="3">
        <v>144</v>
      </c>
      <c r="BT83" s="3">
        <v>16</v>
      </c>
      <c r="BU83" s="3">
        <v>233</v>
      </c>
      <c r="BV83" s="3">
        <v>633</v>
      </c>
      <c r="BW83" s="3">
        <v>661</v>
      </c>
      <c r="BX83" s="3">
        <v>1126</v>
      </c>
      <c r="BY83" s="3" t="s">
        <v>111</v>
      </c>
      <c r="BZ83" s="3" t="s">
        <v>153</v>
      </c>
      <c r="CA83" s="3">
        <v>0</v>
      </c>
      <c r="CB83" s="3" t="s">
        <v>111</v>
      </c>
      <c r="CC83" s="3" t="s">
        <v>111</v>
      </c>
      <c r="CD83" s="3" t="s">
        <v>154</v>
      </c>
      <c r="CE83" s="3" t="s">
        <v>111</v>
      </c>
      <c r="CF83" s="3">
        <v>5022</v>
      </c>
      <c r="CI83" s="3">
        <f t="shared" ref="CI83:CI89" si="7">BQ83*BT83</f>
        <v>0.16800000000000001</v>
      </c>
      <c r="CN83" s="3" t="s">
        <v>3355</v>
      </c>
      <c r="CO83" s="3" t="s">
        <v>4708</v>
      </c>
    </row>
    <row r="84" spans="1:93" ht="16" x14ac:dyDescent="0.2">
      <c r="A84" s="3" t="s">
        <v>3356</v>
      </c>
      <c r="C84" s="5" t="s">
        <v>4726</v>
      </c>
      <c r="D84" s="4">
        <v>12</v>
      </c>
      <c r="E84" s="5" t="s">
        <v>4734</v>
      </c>
      <c r="G84" s="3" t="s">
        <v>4708</v>
      </c>
      <c r="H84" s="3">
        <v>18034</v>
      </c>
      <c r="I84" s="14">
        <v>45155.808333333334</v>
      </c>
      <c r="J84" s="14">
        <v>45161.84652777778</v>
      </c>
      <c r="K84" s="3" t="s">
        <v>187</v>
      </c>
      <c r="L84" s="3" t="s">
        <v>111</v>
      </c>
      <c r="M84" s="3" t="s">
        <v>111</v>
      </c>
      <c r="N84" s="3" t="s">
        <v>111</v>
      </c>
      <c r="O84" s="3" t="s">
        <v>112</v>
      </c>
      <c r="P84" s="3" t="s">
        <v>113</v>
      </c>
      <c r="Q84" s="3" t="s">
        <v>113</v>
      </c>
      <c r="R84" s="3">
        <v>0</v>
      </c>
      <c r="S84" s="3" t="s">
        <v>113</v>
      </c>
      <c r="T84" s="3">
        <v>0.8</v>
      </c>
      <c r="U84" s="3">
        <v>1</v>
      </c>
      <c r="V84" s="3">
        <v>270</v>
      </c>
      <c r="W84" s="3">
        <v>6</v>
      </c>
      <c r="X84" s="3">
        <v>8847</v>
      </c>
      <c r="Y84" s="3">
        <v>7.1499999999999994E-2</v>
      </c>
      <c r="Z84" s="3">
        <v>6.6799999999999998E-2</v>
      </c>
      <c r="AA84" s="3">
        <v>0.93420000000000003</v>
      </c>
      <c r="AB84" s="3" t="s">
        <v>113</v>
      </c>
      <c r="AC84" s="3" t="s">
        <v>3478</v>
      </c>
      <c r="AD84" s="3" t="s">
        <v>113</v>
      </c>
      <c r="AE84" s="3" t="s">
        <v>113</v>
      </c>
      <c r="AF84" s="3" t="s">
        <v>113</v>
      </c>
      <c r="AG84" s="3" t="s">
        <v>113</v>
      </c>
      <c r="AH84" s="3" t="s">
        <v>113</v>
      </c>
      <c r="AI84" s="3" t="s">
        <v>113</v>
      </c>
      <c r="AJ84" s="3">
        <v>906.08140000000003</v>
      </c>
      <c r="AK84" s="3" t="s">
        <v>3479</v>
      </c>
      <c r="AL84" s="3" t="s">
        <v>113</v>
      </c>
      <c r="AM84" s="3" t="s">
        <v>113</v>
      </c>
      <c r="AN84" s="3" t="s">
        <v>113</v>
      </c>
      <c r="AO84" s="3" t="s">
        <v>131</v>
      </c>
      <c r="AP84" s="3" t="s">
        <v>3480</v>
      </c>
      <c r="AQ84" s="3" t="s">
        <v>3481</v>
      </c>
      <c r="AR84" s="3" t="s">
        <v>3482</v>
      </c>
      <c r="AS84" s="3" t="s">
        <v>3483</v>
      </c>
      <c r="AT84" s="3" t="s">
        <v>3484</v>
      </c>
      <c r="AU84" s="3" t="s">
        <v>3485</v>
      </c>
      <c r="AV84" s="7">
        <v>0.159</v>
      </c>
      <c r="AY84" s="3" t="s">
        <v>3356</v>
      </c>
      <c r="BA84" s="3" t="s">
        <v>3487</v>
      </c>
      <c r="BB84" s="3" t="s">
        <v>3488</v>
      </c>
      <c r="BC84" s="3" t="s">
        <v>3489</v>
      </c>
      <c r="BD84" s="3" t="s">
        <v>3490</v>
      </c>
      <c r="BE84" s="3" t="s">
        <v>3491</v>
      </c>
      <c r="BF84" s="3" t="s">
        <v>3456</v>
      </c>
      <c r="BG84" s="3" t="s">
        <v>3492</v>
      </c>
      <c r="BH84" s="3" t="s">
        <v>3493</v>
      </c>
      <c r="BI84" s="3" t="s">
        <v>3471</v>
      </c>
      <c r="BJ84" s="3" t="s">
        <v>3494</v>
      </c>
      <c r="BK84" s="3" t="s">
        <v>3495</v>
      </c>
      <c r="BL84" s="3" t="s">
        <v>3496</v>
      </c>
      <c r="BM84" s="3" t="s">
        <v>3497</v>
      </c>
      <c r="BN84" s="3" t="s">
        <v>3498</v>
      </c>
      <c r="BO84" s="3">
        <v>1.0500000000000001E-2</v>
      </c>
      <c r="BP84" s="3">
        <v>1.0500000000000001E-2</v>
      </c>
      <c r="BQ84" s="3">
        <v>1.0500000000000001E-2</v>
      </c>
      <c r="BR84" s="3">
        <v>88</v>
      </c>
      <c r="BS84" s="3">
        <v>136</v>
      </c>
      <c r="BT84" s="3">
        <v>16</v>
      </c>
      <c r="BU84" s="3">
        <v>505</v>
      </c>
      <c r="BV84" s="3">
        <v>450</v>
      </c>
      <c r="BW84" s="3">
        <v>593</v>
      </c>
      <c r="BX84" s="3">
        <v>1050</v>
      </c>
      <c r="BY84" s="3" t="s">
        <v>111</v>
      </c>
      <c r="BZ84" s="3" t="s">
        <v>153</v>
      </c>
      <c r="CA84" s="3">
        <v>0</v>
      </c>
      <c r="CB84" s="3" t="s">
        <v>111</v>
      </c>
      <c r="CC84" s="3" t="s">
        <v>111</v>
      </c>
      <c r="CD84" s="3" t="s">
        <v>219</v>
      </c>
      <c r="CE84" s="3" t="s">
        <v>111</v>
      </c>
      <c r="CF84" s="3">
        <v>5022</v>
      </c>
      <c r="CI84" s="3">
        <f t="shared" si="7"/>
        <v>0.16800000000000001</v>
      </c>
      <c r="CN84" s="3" t="s">
        <v>3356</v>
      </c>
      <c r="CO84" s="3" t="s">
        <v>4708</v>
      </c>
    </row>
    <row r="85" spans="1:93" ht="16" x14ac:dyDescent="0.2">
      <c r="A85" s="3" t="s">
        <v>3357</v>
      </c>
      <c r="C85" s="4" t="s">
        <v>4726</v>
      </c>
      <c r="D85" s="4">
        <v>12</v>
      </c>
      <c r="E85" s="5" t="s">
        <v>4734</v>
      </c>
      <c r="G85" s="3" t="s">
        <v>4708</v>
      </c>
      <c r="H85" s="3">
        <v>18035</v>
      </c>
      <c r="I85" s="14">
        <v>45155.810416666667</v>
      </c>
      <c r="J85" s="14">
        <v>45167.506944444445</v>
      </c>
      <c r="K85" s="3" t="s">
        <v>253</v>
      </c>
      <c r="L85" s="3" t="s">
        <v>111</v>
      </c>
      <c r="M85" s="3" t="s">
        <v>111</v>
      </c>
      <c r="N85" s="3" t="s">
        <v>111</v>
      </c>
      <c r="O85" s="3" t="s">
        <v>112</v>
      </c>
      <c r="P85" s="3" t="s">
        <v>113</v>
      </c>
      <c r="Q85" s="3" t="s">
        <v>113</v>
      </c>
      <c r="R85" s="3">
        <v>0</v>
      </c>
      <c r="S85" s="3" t="s">
        <v>113</v>
      </c>
      <c r="T85" s="3">
        <v>0.8</v>
      </c>
      <c r="U85" s="3">
        <v>1</v>
      </c>
      <c r="V85" s="3">
        <v>270</v>
      </c>
      <c r="W85" s="3">
        <v>6</v>
      </c>
      <c r="X85" s="3">
        <v>8847</v>
      </c>
      <c r="Y85" s="3">
        <v>6.0400000000000002E-2</v>
      </c>
      <c r="Z85" s="3">
        <v>5.62E-2</v>
      </c>
      <c r="AA85" s="3">
        <v>0.93010000000000004</v>
      </c>
      <c r="AB85" s="3" t="s">
        <v>113</v>
      </c>
      <c r="AC85" s="3" t="s">
        <v>3518</v>
      </c>
      <c r="AD85" s="3" t="s">
        <v>113</v>
      </c>
      <c r="AE85" s="3" t="s">
        <v>113</v>
      </c>
      <c r="AF85" s="3" t="s">
        <v>113</v>
      </c>
      <c r="AG85" s="3" t="s">
        <v>113</v>
      </c>
      <c r="AH85" s="3" t="s">
        <v>113</v>
      </c>
      <c r="AI85" s="3" t="s">
        <v>113</v>
      </c>
      <c r="AJ85" s="3">
        <v>874.6078</v>
      </c>
      <c r="AK85" s="3" t="s">
        <v>3519</v>
      </c>
      <c r="AL85" s="3" t="s">
        <v>113</v>
      </c>
      <c r="AM85" s="3" t="s">
        <v>113</v>
      </c>
      <c r="AN85" s="3" t="s">
        <v>113</v>
      </c>
      <c r="AO85" s="3" t="s">
        <v>131</v>
      </c>
      <c r="AP85" s="3" t="s">
        <v>3520</v>
      </c>
      <c r="AQ85" s="3" t="s">
        <v>3521</v>
      </c>
      <c r="AR85" s="3" t="s">
        <v>3522</v>
      </c>
      <c r="AS85" s="3" t="s">
        <v>3523</v>
      </c>
      <c r="AT85" s="3" t="s">
        <v>3524</v>
      </c>
      <c r="AU85" s="3" t="s">
        <v>3525</v>
      </c>
      <c r="AV85" s="7">
        <v>0.155</v>
      </c>
      <c r="AY85" s="3" t="s">
        <v>3357</v>
      </c>
      <c r="BA85" s="3" t="s">
        <v>3527</v>
      </c>
      <c r="BB85" s="3" t="s">
        <v>3528</v>
      </c>
      <c r="BC85" s="3" t="s">
        <v>3489</v>
      </c>
      <c r="BD85" s="3" t="s">
        <v>3529</v>
      </c>
      <c r="BE85" s="3" t="s">
        <v>3530</v>
      </c>
      <c r="BF85" s="3" t="s">
        <v>3531</v>
      </c>
      <c r="BG85" s="3" t="s">
        <v>3532</v>
      </c>
      <c r="BH85" s="3" t="s">
        <v>3493</v>
      </c>
      <c r="BI85" s="3" t="s">
        <v>3533</v>
      </c>
      <c r="BJ85" s="3" t="s">
        <v>3534</v>
      </c>
      <c r="BK85" s="3" t="s">
        <v>3535</v>
      </c>
      <c r="BL85" s="3" t="s">
        <v>3536</v>
      </c>
      <c r="BM85" s="3" t="s">
        <v>3517</v>
      </c>
      <c r="BN85" s="3" t="s">
        <v>3537</v>
      </c>
      <c r="BO85" s="3">
        <v>1.0500000000000001E-2</v>
      </c>
      <c r="BP85" s="3">
        <v>1.0500000000000001E-2</v>
      </c>
      <c r="BQ85" s="3">
        <v>1.0500000000000001E-2</v>
      </c>
      <c r="BR85" s="3">
        <v>80</v>
      </c>
      <c r="BS85" s="3">
        <v>124</v>
      </c>
      <c r="BT85" s="3">
        <v>17</v>
      </c>
      <c r="BU85" s="3">
        <v>1154</v>
      </c>
      <c r="BV85" s="3">
        <v>392</v>
      </c>
      <c r="BW85" s="3">
        <v>683</v>
      </c>
      <c r="BX85" s="3">
        <v>1126</v>
      </c>
      <c r="BY85" s="3" t="s">
        <v>111</v>
      </c>
      <c r="BZ85" s="3" t="s">
        <v>153</v>
      </c>
      <c r="CA85" s="3">
        <v>0</v>
      </c>
      <c r="CB85" s="3" t="s">
        <v>111</v>
      </c>
      <c r="CC85" s="3" t="s">
        <v>111</v>
      </c>
      <c r="CD85" s="3" t="s">
        <v>286</v>
      </c>
      <c r="CE85" s="3" t="s">
        <v>111</v>
      </c>
      <c r="CF85" s="3">
        <v>5022</v>
      </c>
      <c r="CI85" s="3">
        <f t="shared" si="7"/>
        <v>0.17850000000000002</v>
      </c>
      <c r="CN85" s="3" t="s">
        <v>3357</v>
      </c>
      <c r="CO85" s="3" t="s">
        <v>4708</v>
      </c>
    </row>
    <row r="86" spans="1:93" ht="16" x14ac:dyDescent="0.2">
      <c r="A86" s="3" t="s">
        <v>3358</v>
      </c>
      <c r="C86" s="4" t="s">
        <v>4726</v>
      </c>
      <c r="D86" s="4">
        <v>12</v>
      </c>
      <c r="E86" s="5" t="s">
        <v>4734</v>
      </c>
      <c r="G86" s="3" t="s">
        <v>4708</v>
      </c>
      <c r="H86" s="3">
        <v>18036</v>
      </c>
      <c r="I86" s="14">
        <v>45155.825694444444</v>
      </c>
      <c r="J86" s="14">
        <v>45167.563888888886</v>
      </c>
      <c r="K86" s="3" t="s">
        <v>318</v>
      </c>
      <c r="L86" s="3" t="s">
        <v>111</v>
      </c>
      <c r="M86" s="3" t="s">
        <v>111</v>
      </c>
      <c r="N86" s="3" t="s">
        <v>111</v>
      </c>
      <c r="O86" s="3" t="s">
        <v>112</v>
      </c>
      <c r="P86" s="3" t="s">
        <v>113</v>
      </c>
      <c r="Q86" s="3" t="s">
        <v>113</v>
      </c>
      <c r="R86" s="3">
        <v>0</v>
      </c>
      <c r="S86" s="3" t="s">
        <v>113</v>
      </c>
      <c r="T86" s="3">
        <v>0.8</v>
      </c>
      <c r="U86" s="3">
        <v>1</v>
      </c>
      <c r="V86" s="3">
        <v>270</v>
      </c>
      <c r="W86" s="3">
        <v>6</v>
      </c>
      <c r="X86" s="3">
        <v>8847</v>
      </c>
      <c r="Y86" s="3">
        <v>3.7999999999999999E-2</v>
      </c>
      <c r="Z86" s="3">
        <v>3.5400000000000001E-2</v>
      </c>
      <c r="AA86" s="3">
        <v>0.92959999999999998</v>
      </c>
      <c r="AB86" s="3" t="s">
        <v>113</v>
      </c>
      <c r="AC86" s="3" t="s">
        <v>3518</v>
      </c>
      <c r="AD86" s="3" t="s">
        <v>113</v>
      </c>
      <c r="AE86" s="3" t="s">
        <v>113</v>
      </c>
      <c r="AF86" s="3" t="s">
        <v>113</v>
      </c>
      <c r="AG86" s="3" t="s">
        <v>113</v>
      </c>
      <c r="AH86" s="3" t="s">
        <v>113</v>
      </c>
      <c r="AI86" s="3" t="s">
        <v>113</v>
      </c>
      <c r="AJ86" s="3">
        <v>859.56169999999997</v>
      </c>
      <c r="AK86" s="3" t="s">
        <v>3555</v>
      </c>
      <c r="AL86" s="3" t="s">
        <v>113</v>
      </c>
      <c r="AM86" s="3" t="s">
        <v>113</v>
      </c>
      <c r="AN86" s="3" t="s">
        <v>113</v>
      </c>
      <c r="AO86" s="3" t="s">
        <v>131</v>
      </c>
      <c r="AP86" s="3" t="s">
        <v>3556</v>
      </c>
      <c r="AQ86" s="3" t="s">
        <v>3557</v>
      </c>
      <c r="AR86" s="3" t="s">
        <v>3512</v>
      </c>
      <c r="AS86" s="3" t="s">
        <v>3558</v>
      </c>
      <c r="AT86" s="3" t="s">
        <v>3559</v>
      </c>
      <c r="AU86" s="3" t="s">
        <v>3560</v>
      </c>
      <c r="AV86" s="7">
        <v>0.124</v>
      </c>
      <c r="AY86" s="3" t="s">
        <v>3358</v>
      </c>
      <c r="BA86" s="3" t="s">
        <v>3561</v>
      </c>
      <c r="BB86" s="3" t="s">
        <v>3562</v>
      </c>
      <c r="BC86" s="3" t="s">
        <v>3563</v>
      </c>
      <c r="BD86" s="3" t="s">
        <v>3564</v>
      </c>
      <c r="BE86" s="3" t="s">
        <v>3565</v>
      </c>
      <c r="BF86" s="3" t="s">
        <v>3566</v>
      </c>
      <c r="BG86" s="3" t="s">
        <v>3474</v>
      </c>
      <c r="BH86" s="3" t="s">
        <v>3563</v>
      </c>
      <c r="BI86" s="3" t="s">
        <v>3567</v>
      </c>
      <c r="BJ86" s="3" t="s">
        <v>3568</v>
      </c>
      <c r="BK86" s="3" t="s">
        <v>3471</v>
      </c>
      <c r="BL86" s="3" t="s">
        <v>3569</v>
      </c>
      <c r="BM86" s="3" t="s">
        <v>3570</v>
      </c>
      <c r="BN86" s="3" t="s">
        <v>3571</v>
      </c>
      <c r="BO86" s="3">
        <v>1.0500000000000001E-2</v>
      </c>
      <c r="BP86" s="3">
        <v>1.0500000000000001E-2</v>
      </c>
      <c r="BQ86" s="3">
        <v>1.0500000000000001E-2</v>
      </c>
      <c r="BR86" s="3">
        <v>108</v>
      </c>
      <c r="BS86" s="3">
        <v>76</v>
      </c>
      <c r="BT86" s="3">
        <v>14</v>
      </c>
      <c r="BU86" s="3">
        <v>1421</v>
      </c>
      <c r="BV86" s="3">
        <v>743</v>
      </c>
      <c r="BW86" s="3">
        <v>753</v>
      </c>
      <c r="BX86" s="3">
        <v>1126</v>
      </c>
      <c r="BY86" s="3" t="s">
        <v>111</v>
      </c>
      <c r="BZ86" s="3" t="s">
        <v>153</v>
      </c>
      <c r="CA86" s="3">
        <v>0</v>
      </c>
      <c r="CB86" s="3" t="s">
        <v>111</v>
      </c>
      <c r="CC86" s="3" t="s">
        <v>111</v>
      </c>
      <c r="CD86" s="3" t="s">
        <v>351</v>
      </c>
      <c r="CE86" s="3" t="s">
        <v>111</v>
      </c>
      <c r="CF86" s="3">
        <v>5022</v>
      </c>
      <c r="CI86" s="3">
        <f t="shared" si="7"/>
        <v>0.14700000000000002</v>
      </c>
      <c r="CN86" s="3" t="s">
        <v>3358</v>
      </c>
      <c r="CO86" s="3" t="s">
        <v>4708</v>
      </c>
    </row>
    <row r="87" spans="1:93" ht="16" x14ac:dyDescent="0.2">
      <c r="A87" s="3" t="s">
        <v>3359</v>
      </c>
      <c r="C87" s="4" t="s">
        <v>4726</v>
      </c>
      <c r="D87" s="4">
        <v>12</v>
      </c>
      <c r="E87" s="5" t="s">
        <v>4734</v>
      </c>
      <c r="G87" s="3" t="s">
        <v>4708</v>
      </c>
      <c r="H87" s="3">
        <v>18037</v>
      </c>
      <c r="I87" s="14">
        <v>45155.820138888892</v>
      </c>
      <c r="J87" s="14">
        <v>45167.574305555558</v>
      </c>
      <c r="K87" s="3" t="s">
        <v>383</v>
      </c>
      <c r="L87" s="3" t="s">
        <v>111</v>
      </c>
      <c r="M87" s="3" t="s">
        <v>111</v>
      </c>
      <c r="N87" s="3" t="s">
        <v>111</v>
      </c>
      <c r="O87" s="3" t="s">
        <v>112</v>
      </c>
      <c r="P87" s="3" t="s">
        <v>113</v>
      </c>
      <c r="Q87" s="3" t="s">
        <v>113</v>
      </c>
      <c r="R87" s="3">
        <v>0</v>
      </c>
      <c r="S87" s="3" t="s">
        <v>113</v>
      </c>
      <c r="T87" s="3">
        <v>0.8</v>
      </c>
      <c r="U87" s="3">
        <v>1</v>
      </c>
      <c r="V87" s="3">
        <v>270</v>
      </c>
      <c r="W87" s="3">
        <v>6</v>
      </c>
      <c r="X87" s="3">
        <v>8847</v>
      </c>
      <c r="Y87" s="3">
        <v>0.08</v>
      </c>
      <c r="Z87" s="3">
        <v>6.5299999999999997E-2</v>
      </c>
      <c r="AA87" s="3">
        <v>0.8165</v>
      </c>
      <c r="AB87" s="3" t="s">
        <v>113</v>
      </c>
      <c r="AC87" s="3" t="s">
        <v>3590</v>
      </c>
      <c r="AD87" s="3" t="s">
        <v>113</v>
      </c>
      <c r="AE87" s="3" t="s">
        <v>113</v>
      </c>
      <c r="AF87" s="3" t="s">
        <v>113</v>
      </c>
      <c r="AG87" s="3" t="s">
        <v>113</v>
      </c>
      <c r="AH87" s="3" t="s">
        <v>113</v>
      </c>
      <c r="AI87" s="3" t="s">
        <v>113</v>
      </c>
      <c r="AJ87" s="3">
        <v>786.87469999999996</v>
      </c>
      <c r="AK87" s="3" t="s">
        <v>3591</v>
      </c>
      <c r="AL87" s="3" t="s">
        <v>113</v>
      </c>
      <c r="AM87" s="3" t="s">
        <v>113</v>
      </c>
      <c r="AN87" s="3" t="s">
        <v>113</v>
      </c>
      <c r="AO87" s="3" t="s">
        <v>131</v>
      </c>
      <c r="AP87" s="3" t="s">
        <v>3503</v>
      </c>
      <c r="AQ87" s="3" t="s">
        <v>3592</v>
      </c>
      <c r="AR87" s="3" t="s">
        <v>3593</v>
      </c>
      <c r="AS87" s="3" t="s">
        <v>3594</v>
      </c>
      <c r="AT87" s="3" t="s">
        <v>3595</v>
      </c>
      <c r="AU87" s="3" t="s">
        <v>3596</v>
      </c>
      <c r="AV87" s="7">
        <v>9.8000000000000004E-2</v>
      </c>
      <c r="AY87" s="3" t="s">
        <v>3359</v>
      </c>
      <c r="BA87" s="3" t="s">
        <v>3597</v>
      </c>
      <c r="BB87" s="3" t="s">
        <v>3598</v>
      </c>
      <c r="BC87" s="3" t="s">
        <v>3599</v>
      </c>
      <c r="BD87" s="3" t="s">
        <v>3449</v>
      </c>
      <c r="BE87" s="3" t="s">
        <v>3600</v>
      </c>
      <c r="BF87" s="3" t="s">
        <v>3429</v>
      </c>
      <c r="BG87" s="3" t="s">
        <v>3430</v>
      </c>
      <c r="BH87" s="3" t="s">
        <v>3599</v>
      </c>
      <c r="BI87" s="3" t="s">
        <v>3601</v>
      </c>
      <c r="BJ87" s="3" t="s">
        <v>3602</v>
      </c>
      <c r="BK87" s="3" t="s">
        <v>3474</v>
      </c>
      <c r="BL87" s="3" t="s">
        <v>3603</v>
      </c>
      <c r="BM87" s="3" t="s">
        <v>3604</v>
      </c>
      <c r="BN87" s="3" t="s">
        <v>3436</v>
      </c>
      <c r="BO87" s="3">
        <v>1.0500000000000001E-2</v>
      </c>
      <c r="BP87" s="3">
        <v>1.0500000000000001E-2</v>
      </c>
      <c r="BQ87" s="3">
        <v>1.0500000000000001E-2</v>
      </c>
      <c r="BR87" s="3">
        <v>140</v>
      </c>
      <c r="BS87" s="3">
        <v>152</v>
      </c>
      <c r="BT87" s="3">
        <v>14</v>
      </c>
      <c r="BU87" s="3">
        <v>1488</v>
      </c>
      <c r="BV87" s="3">
        <v>1131</v>
      </c>
      <c r="BW87" s="3">
        <v>417</v>
      </c>
      <c r="BX87" s="3">
        <v>1040</v>
      </c>
      <c r="BY87" s="3" t="s">
        <v>111</v>
      </c>
      <c r="BZ87" s="3" t="s">
        <v>153</v>
      </c>
      <c r="CA87" s="3">
        <v>0</v>
      </c>
      <c r="CB87" s="3" t="s">
        <v>111</v>
      </c>
      <c r="CC87" s="3" t="s">
        <v>111</v>
      </c>
      <c r="CD87" s="3" t="s">
        <v>417</v>
      </c>
      <c r="CE87" s="3" t="s">
        <v>111</v>
      </c>
      <c r="CF87" s="3">
        <v>5022</v>
      </c>
      <c r="CI87" s="3">
        <f t="shared" si="7"/>
        <v>0.14700000000000002</v>
      </c>
      <c r="CN87" s="3" t="s">
        <v>3359</v>
      </c>
      <c r="CO87" s="3" t="s">
        <v>4708</v>
      </c>
    </row>
    <row r="88" spans="1:93" ht="16" x14ac:dyDescent="0.2">
      <c r="A88" s="3" t="s">
        <v>3360</v>
      </c>
      <c r="C88" s="5" t="s">
        <v>4726</v>
      </c>
      <c r="D88" s="4">
        <v>12</v>
      </c>
      <c r="E88" s="5" t="s">
        <v>4734</v>
      </c>
      <c r="G88" s="3" t="s">
        <v>4708</v>
      </c>
      <c r="H88" s="3">
        <v>18039</v>
      </c>
      <c r="I88" s="14">
        <v>45155.831944444442</v>
      </c>
      <c r="J88" s="14">
        <v>45167.586111111108</v>
      </c>
      <c r="K88" s="3" t="s">
        <v>450</v>
      </c>
      <c r="L88" s="3" t="s">
        <v>111</v>
      </c>
      <c r="M88" s="3" t="s">
        <v>111</v>
      </c>
      <c r="N88" s="3" t="s">
        <v>111</v>
      </c>
      <c r="O88" s="3" t="s">
        <v>112</v>
      </c>
      <c r="P88" s="3" t="s">
        <v>113</v>
      </c>
      <c r="Q88" s="3" t="s">
        <v>113</v>
      </c>
      <c r="R88" s="3">
        <v>0</v>
      </c>
      <c r="S88" s="3" t="s">
        <v>113</v>
      </c>
      <c r="T88" s="3">
        <v>0.8</v>
      </c>
      <c r="U88" s="3">
        <v>1</v>
      </c>
      <c r="V88" s="3">
        <v>270</v>
      </c>
      <c r="W88" s="3">
        <v>6</v>
      </c>
      <c r="X88" s="3">
        <v>8847</v>
      </c>
      <c r="Y88" s="3">
        <v>8.5699999999999998E-2</v>
      </c>
      <c r="Z88" s="3">
        <v>8.1299999999999997E-2</v>
      </c>
      <c r="AA88" s="3">
        <v>0.94899999999999995</v>
      </c>
      <c r="AB88" s="3" t="s">
        <v>113</v>
      </c>
      <c r="AC88" s="3" t="s">
        <v>3624</v>
      </c>
      <c r="AD88" s="3" t="s">
        <v>113</v>
      </c>
      <c r="AE88" s="3" t="s">
        <v>113</v>
      </c>
      <c r="AF88" s="3" t="s">
        <v>113</v>
      </c>
      <c r="AG88" s="3" t="s">
        <v>113</v>
      </c>
      <c r="AH88" s="3" t="s">
        <v>113</v>
      </c>
      <c r="AI88" s="3" t="s">
        <v>113</v>
      </c>
      <c r="AJ88" s="3">
        <v>961.25080000000003</v>
      </c>
      <c r="AK88" s="3" t="s">
        <v>3625</v>
      </c>
      <c r="AL88" s="3" t="s">
        <v>113</v>
      </c>
      <c r="AM88" s="3" t="s">
        <v>113</v>
      </c>
      <c r="AN88" s="3" t="s">
        <v>113</v>
      </c>
      <c r="AO88" s="3" t="s">
        <v>131</v>
      </c>
      <c r="AP88" s="3" t="s">
        <v>3626</v>
      </c>
      <c r="AQ88" s="3" t="s">
        <v>3627</v>
      </c>
      <c r="AR88" s="3" t="s">
        <v>3466</v>
      </c>
      <c r="AS88" s="3" t="s">
        <v>3628</v>
      </c>
      <c r="AT88" s="3" t="s">
        <v>3629</v>
      </c>
      <c r="AU88" s="3" t="s">
        <v>3630</v>
      </c>
      <c r="AV88" s="7">
        <v>0.155</v>
      </c>
      <c r="AY88" s="3" t="s">
        <v>3360</v>
      </c>
      <c r="BA88" s="3" t="s">
        <v>3582</v>
      </c>
      <c r="BB88" s="3" t="s">
        <v>3631</v>
      </c>
      <c r="BC88" s="3" t="s">
        <v>3426</v>
      </c>
      <c r="BD88" s="3" t="s">
        <v>3632</v>
      </c>
      <c r="BE88" s="3" t="s">
        <v>3633</v>
      </c>
      <c r="BF88" s="3" t="s">
        <v>3634</v>
      </c>
      <c r="BG88" s="3" t="s">
        <v>3497</v>
      </c>
      <c r="BH88" s="3" t="s">
        <v>3426</v>
      </c>
      <c r="BI88" s="3" t="s">
        <v>3440</v>
      </c>
      <c r="BJ88" s="3" t="s">
        <v>3635</v>
      </c>
      <c r="BK88" s="3" t="s">
        <v>3474</v>
      </c>
      <c r="BL88" s="3" t="s">
        <v>3636</v>
      </c>
      <c r="BM88" s="3" t="s">
        <v>3637</v>
      </c>
      <c r="BN88" s="3" t="s">
        <v>3638</v>
      </c>
      <c r="BO88" s="3">
        <v>1.0500000000000001E-2</v>
      </c>
      <c r="BP88" s="3">
        <v>1.0500000000000001E-2</v>
      </c>
      <c r="BQ88" s="3">
        <v>1.0500000000000001E-2</v>
      </c>
      <c r="BR88" s="3">
        <v>100</v>
      </c>
      <c r="BS88" s="3">
        <v>140</v>
      </c>
      <c r="BT88" s="3">
        <v>18</v>
      </c>
      <c r="BU88" s="3">
        <v>1186</v>
      </c>
      <c r="BV88" s="3">
        <v>1477</v>
      </c>
      <c r="BW88" s="3">
        <v>248</v>
      </c>
      <c r="BX88" s="3">
        <v>940</v>
      </c>
      <c r="BY88" s="3" t="s">
        <v>111</v>
      </c>
      <c r="BZ88" s="3" t="s">
        <v>153</v>
      </c>
      <c r="CA88" s="3">
        <v>0</v>
      </c>
      <c r="CB88" s="3" t="s">
        <v>111</v>
      </c>
      <c r="CC88" s="3" t="s">
        <v>111</v>
      </c>
      <c r="CD88" s="3" t="s">
        <v>483</v>
      </c>
      <c r="CE88" s="3" t="s">
        <v>111</v>
      </c>
      <c r="CF88" s="3">
        <v>5022</v>
      </c>
      <c r="CI88" s="3">
        <f t="shared" si="7"/>
        <v>0.189</v>
      </c>
      <c r="CN88" s="3" t="s">
        <v>3360</v>
      </c>
      <c r="CO88" s="3" t="s">
        <v>4708</v>
      </c>
    </row>
    <row r="89" spans="1:93" ht="16" x14ac:dyDescent="0.2">
      <c r="A89" s="3" t="s">
        <v>3361</v>
      </c>
      <c r="C89" s="4" t="s">
        <v>4726</v>
      </c>
      <c r="D89" s="4">
        <v>12</v>
      </c>
      <c r="E89" s="5" t="s">
        <v>4734</v>
      </c>
      <c r="G89" s="3" t="s">
        <v>4708</v>
      </c>
      <c r="H89" s="3">
        <v>18040</v>
      </c>
      <c r="I89" s="14">
        <v>45155.838888888888</v>
      </c>
      <c r="J89" s="14">
        <v>45167.601388888892</v>
      </c>
      <c r="K89" s="3" t="s">
        <v>517</v>
      </c>
      <c r="L89" s="3" t="s">
        <v>111</v>
      </c>
      <c r="M89" s="3" t="s">
        <v>111</v>
      </c>
      <c r="N89" s="3" t="s">
        <v>111</v>
      </c>
      <c r="O89" s="3" t="s">
        <v>112</v>
      </c>
      <c r="P89" s="3" t="s">
        <v>113</v>
      </c>
      <c r="Q89" s="3" t="s">
        <v>113</v>
      </c>
      <c r="R89" s="3">
        <v>0</v>
      </c>
      <c r="S89" s="3" t="s">
        <v>113</v>
      </c>
      <c r="T89" s="3">
        <v>0.8</v>
      </c>
      <c r="U89" s="3">
        <v>1</v>
      </c>
      <c r="V89" s="3">
        <v>270</v>
      </c>
      <c r="W89" s="3">
        <v>6</v>
      </c>
      <c r="X89" s="3">
        <v>8847</v>
      </c>
      <c r="Y89" s="3">
        <v>9.5399999999999999E-2</v>
      </c>
      <c r="Z89" s="3">
        <v>8.7400000000000005E-2</v>
      </c>
      <c r="AA89" s="3">
        <v>0.91659999999999997</v>
      </c>
      <c r="AB89" s="3" t="s">
        <v>113</v>
      </c>
      <c r="AC89" s="3" t="s">
        <v>3654</v>
      </c>
      <c r="AD89" s="3" t="s">
        <v>113</v>
      </c>
      <c r="AE89" s="3" t="s">
        <v>113</v>
      </c>
      <c r="AF89" s="3" t="s">
        <v>113</v>
      </c>
      <c r="AG89" s="3" t="s">
        <v>113</v>
      </c>
      <c r="AH89" s="3" t="s">
        <v>113</v>
      </c>
      <c r="AI89" s="3" t="s">
        <v>113</v>
      </c>
      <c r="AJ89" s="3">
        <v>903.75540000000001</v>
      </c>
      <c r="AK89" s="3" t="s">
        <v>3655</v>
      </c>
      <c r="AL89" s="3" t="s">
        <v>113</v>
      </c>
      <c r="AM89" s="3" t="s">
        <v>113</v>
      </c>
      <c r="AN89" s="3" t="s">
        <v>113</v>
      </c>
      <c r="AO89" s="3" t="s">
        <v>131</v>
      </c>
      <c r="AP89" s="3" t="s">
        <v>3656</v>
      </c>
      <c r="AQ89" s="3" t="s">
        <v>3657</v>
      </c>
      <c r="AR89" s="3" t="s">
        <v>3626</v>
      </c>
      <c r="AS89" s="3" t="s">
        <v>3658</v>
      </c>
      <c r="AT89" s="3" t="s">
        <v>3659</v>
      </c>
      <c r="AU89" s="3" t="s">
        <v>3504</v>
      </c>
      <c r="AV89" s="7">
        <v>0.14000000000000001</v>
      </c>
      <c r="AY89" s="3" t="s">
        <v>3361</v>
      </c>
      <c r="BA89" s="3" t="s">
        <v>3661</v>
      </c>
      <c r="BB89" s="3" t="s">
        <v>3662</v>
      </c>
      <c r="BC89" s="3" t="s">
        <v>3440</v>
      </c>
      <c r="BD89" s="3" t="s">
        <v>3663</v>
      </c>
      <c r="BE89" s="3" t="s">
        <v>3664</v>
      </c>
      <c r="BF89" s="3" t="s">
        <v>3436</v>
      </c>
      <c r="BG89" s="3" t="s">
        <v>3471</v>
      </c>
      <c r="BH89" s="3" t="s">
        <v>3440</v>
      </c>
      <c r="BI89" s="3" t="s">
        <v>3665</v>
      </c>
      <c r="BJ89" s="3" t="s">
        <v>3482</v>
      </c>
      <c r="BK89" s="3" t="s">
        <v>3471</v>
      </c>
      <c r="BL89" s="3" t="s">
        <v>3666</v>
      </c>
      <c r="BM89" s="3" t="s">
        <v>3667</v>
      </c>
      <c r="BN89" s="3" t="s">
        <v>3668</v>
      </c>
      <c r="BO89" s="3">
        <v>1.0500000000000001E-2</v>
      </c>
      <c r="BP89" s="3">
        <v>1.0500000000000001E-2</v>
      </c>
      <c r="BQ89" s="3">
        <v>1.0500000000000001E-2</v>
      </c>
      <c r="BR89" s="3">
        <v>136</v>
      </c>
      <c r="BS89" s="3">
        <v>140</v>
      </c>
      <c r="BT89" s="3">
        <v>15</v>
      </c>
      <c r="BU89" s="3">
        <v>480</v>
      </c>
      <c r="BV89" s="3">
        <v>1567</v>
      </c>
      <c r="BW89" s="3">
        <v>789</v>
      </c>
      <c r="BX89" s="3">
        <v>1126</v>
      </c>
      <c r="BY89" s="3" t="s">
        <v>111</v>
      </c>
      <c r="BZ89" s="3" t="s">
        <v>153</v>
      </c>
      <c r="CA89" s="3">
        <v>0</v>
      </c>
      <c r="CB89" s="3" t="s">
        <v>111</v>
      </c>
      <c r="CC89" s="3" t="s">
        <v>111</v>
      </c>
      <c r="CD89" s="3" t="s">
        <v>550</v>
      </c>
      <c r="CE89" s="3" t="s">
        <v>111</v>
      </c>
      <c r="CF89" s="3">
        <v>5022</v>
      </c>
      <c r="CI89" s="3">
        <f t="shared" si="7"/>
        <v>0.1575</v>
      </c>
      <c r="CN89" s="3" t="s">
        <v>3361</v>
      </c>
      <c r="CO89" s="3" t="s">
        <v>4708</v>
      </c>
    </row>
    <row r="91" spans="1:93" x14ac:dyDescent="0.2">
      <c r="CF91" s="3" t="s">
        <v>4721</v>
      </c>
      <c r="CI91" s="3">
        <f>_xlfn.T.TEST(CI83:CI89,CI63:CI71,2,3)</f>
        <v>5.4888270967704808E-2</v>
      </c>
    </row>
    <row r="92" spans="1:93" x14ac:dyDescent="0.2">
      <c r="CF92" s="3" t="s">
        <v>4725</v>
      </c>
      <c r="CI92" s="3">
        <f>_xlfn.T.TEST(CI83:CI89,CI75:CI79,2,3)</f>
        <v>0.1377723997187299</v>
      </c>
    </row>
    <row r="95" spans="1:93" ht="16" x14ac:dyDescent="0.2">
      <c r="A95" s="3" t="s">
        <v>3370</v>
      </c>
      <c r="C95" s="4" t="s">
        <v>4726</v>
      </c>
      <c r="D95" s="4">
        <v>12</v>
      </c>
      <c r="E95" s="5" t="s">
        <v>4732</v>
      </c>
      <c r="G95" s="3" t="s">
        <v>4708</v>
      </c>
      <c r="H95" s="3">
        <v>18050</v>
      </c>
      <c r="I95" s="14">
        <v>45156.55</v>
      </c>
      <c r="J95" s="14">
        <v>45168.78125</v>
      </c>
      <c r="K95" s="3" t="s">
        <v>1079</v>
      </c>
      <c r="L95" s="3" t="s">
        <v>111</v>
      </c>
      <c r="M95" s="3" t="s">
        <v>111</v>
      </c>
      <c r="N95" s="3" t="s">
        <v>111</v>
      </c>
      <c r="O95" s="3" t="s">
        <v>112</v>
      </c>
      <c r="P95" s="3" t="s">
        <v>113</v>
      </c>
      <c r="Q95" s="3" t="s">
        <v>113</v>
      </c>
      <c r="R95" s="3">
        <v>0</v>
      </c>
      <c r="S95" s="3" t="s">
        <v>113</v>
      </c>
      <c r="T95" s="3">
        <v>0.8</v>
      </c>
      <c r="U95" s="3">
        <v>1</v>
      </c>
      <c r="V95" s="3">
        <v>270</v>
      </c>
      <c r="W95" s="3">
        <v>6</v>
      </c>
      <c r="X95" s="3">
        <v>8847</v>
      </c>
      <c r="Y95" s="3">
        <v>8.4000000000000005E-2</v>
      </c>
      <c r="Z95" s="3">
        <v>7.0599999999999996E-2</v>
      </c>
      <c r="AA95" s="3">
        <v>0.84119999999999995</v>
      </c>
      <c r="AB95" s="3" t="s">
        <v>113</v>
      </c>
      <c r="AC95" s="3" t="s">
        <v>3904</v>
      </c>
      <c r="AD95" s="3" t="s">
        <v>113</v>
      </c>
      <c r="AE95" s="3" t="s">
        <v>113</v>
      </c>
      <c r="AF95" s="3" t="s">
        <v>113</v>
      </c>
      <c r="AG95" s="3" t="s">
        <v>113</v>
      </c>
      <c r="AH95" s="3" t="s">
        <v>113</v>
      </c>
      <c r="AI95" s="3" t="s">
        <v>113</v>
      </c>
      <c r="AJ95" s="3">
        <v>826.48910000000001</v>
      </c>
      <c r="AK95" s="3" t="s">
        <v>3905</v>
      </c>
      <c r="AL95" s="3" t="s">
        <v>113</v>
      </c>
      <c r="AM95" s="3" t="s">
        <v>113</v>
      </c>
      <c r="AN95" s="3" t="s">
        <v>113</v>
      </c>
      <c r="AO95" s="3" t="s">
        <v>131</v>
      </c>
      <c r="AP95" s="3" t="s">
        <v>3906</v>
      </c>
      <c r="AQ95" s="3" t="s">
        <v>3907</v>
      </c>
      <c r="AR95" s="3" t="s">
        <v>3445</v>
      </c>
      <c r="AS95" s="3" t="s">
        <v>3908</v>
      </c>
      <c r="AT95" s="3" t="s">
        <v>3909</v>
      </c>
      <c r="AU95" s="3" t="s">
        <v>3910</v>
      </c>
      <c r="AV95" s="7">
        <v>0.115</v>
      </c>
      <c r="AY95" s="3" t="s">
        <v>3370</v>
      </c>
      <c r="BA95" s="3" t="s">
        <v>3911</v>
      </c>
      <c r="BB95" s="3" t="s">
        <v>3912</v>
      </c>
      <c r="BC95" s="3" t="s">
        <v>3816</v>
      </c>
      <c r="BD95" s="3" t="s">
        <v>3428</v>
      </c>
      <c r="BE95" s="3" t="s">
        <v>3724</v>
      </c>
      <c r="BF95" s="3" t="s">
        <v>3430</v>
      </c>
      <c r="BG95" s="3" t="s">
        <v>3433</v>
      </c>
      <c r="BH95" s="3" t="s">
        <v>3816</v>
      </c>
      <c r="BI95" s="3" t="s">
        <v>3724</v>
      </c>
      <c r="BJ95" s="3" t="s">
        <v>3913</v>
      </c>
      <c r="BK95" s="3" t="s">
        <v>3492</v>
      </c>
      <c r="BL95" s="3" t="s">
        <v>3914</v>
      </c>
      <c r="BM95" s="3" t="s">
        <v>3915</v>
      </c>
      <c r="BN95" s="3" t="s">
        <v>3535</v>
      </c>
      <c r="BO95" s="3">
        <v>1.0500000000000001E-2</v>
      </c>
      <c r="BP95" s="3">
        <v>1.0500000000000001E-2</v>
      </c>
      <c r="BQ95" s="3">
        <v>1.0500000000000001E-2</v>
      </c>
      <c r="BR95" s="3">
        <v>160</v>
      </c>
      <c r="BS95" s="3">
        <v>148</v>
      </c>
      <c r="BT95" s="3">
        <v>19</v>
      </c>
      <c r="BU95" s="3">
        <v>369</v>
      </c>
      <c r="BV95" s="3">
        <v>1255</v>
      </c>
      <c r="BW95" s="3">
        <v>704</v>
      </c>
      <c r="BX95" s="3">
        <v>1100</v>
      </c>
      <c r="BY95" s="3" t="s">
        <v>111</v>
      </c>
      <c r="BZ95" s="3" t="s">
        <v>153</v>
      </c>
      <c r="CA95" s="3">
        <v>0</v>
      </c>
      <c r="CB95" s="3" t="s">
        <v>111</v>
      </c>
      <c r="CC95" s="3" t="s">
        <v>111</v>
      </c>
      <c r="CD95" s="3" t="s">
        <v>1107</v>
      </c>
      <c r="CE95" s="3" t="s">
        <v>111</v>
      </c>
      <c r="CF95" s="3">
        <v>5022</v>
      </c>
      <c r="CI95" s="3">
        <f t="shared" ref="CI95:CI103" si="8">BQ95*BT95</f>
        <v>0.19950000000000001</v>
      </c>
      <c r="CN95" s="3" t="s">
        <v>3370</v>
      </c>
      <c r="CO95" s="3" t="s">
        <v>4708</v>
      </c>
    </row>
    <row r="96" spans="1:93" ht="16" x14ac:dyDescent="0.2">
      <c r="A96" s="3" t="s">
        <v>3371</v>
      </c>
      <c r="C96" s="5" t="s">
        <v>4726</v>
      </c>
      <c r="D96" s="4">
        <v>12</v>
      </c>
      <c r="E96" s="5" t="s">
        <v>4732</v>
      </c>
      <c r="G96" s="3" t="s">
        <v>4708</v>
      </c>
      <c r="H96" s="3">
        <v>18051</v>
      </c>
      <c r="I96" s="14">
        <v>45156.603472222225</v>
      </c>
      <c r="J96" s="14">
        <v>45168.790277777778</v>
      </c>
      <c r="K96" s="3" t="s">
        <v>1140</v>
      </c>
      <c r="L96" s="3" t="s">
        <v>111</v>
      </c>
      <c r="M96" s="3" t="s">
        <v>111</v>
      </c>
      <c r="N96" s="3" t="s">
        <v>111</v>
      </c>
      <c r="O96" s="3" t="s">
        <v>112</v>
      </c>
      <c r="P96" s="3" t="s">
        <v>113</v>
      </c>
      <c r="Q96" s="3" t="s">
        <v>113</v>
      </c>
      <c r="R96" s="3">
        <v>0</v>
      </c>
      <c r="S96" s="3" t="s">
        <v>113</v>
      </c>
      <c r="T96" s="3">
        <v>0.8</v>
      </c>
      <c r="U96" s="3">
        <v>1</v>
      </c>
      <c r="V96" s="3">
        <v>270</v>
      </c>
      <c r="W96" s="3">
        <v>6</v>
      </c>
      <c r="X96" s="3">
        <v>8847</v>
      </c>
      <c r="Y96" s="3">
        <v>8.0600000000000005E-2</v>
      </c>
      <c r="Z96" s="3">
        <v>6.6600000000000006E-2</v>
      </c>
      <c r="AA96" s="3">
        <v>0.82630000000000003</v>
      </c>
      <c r="AB96" s="3" t="s">
        <v>113</v>
      </c>
      <c r="AC96" s="3" t="s">
        <v>3928</v>
      </c>
      <c r="AD96" s="3" t="s">
        <v>113</v>
      </c>
      <c r="AE96" s="3" t="s">
        <v>113</v>
      </c>
      <c r="AF96" s="3" t="s">
        <v>113</v>
      </c>
      <c r="AG96" s="3" t="s">
        <v>113</v>
      </c>
      <c r="AH96" s="3" t="s">
        <v>113</v>
      </c>
      <c r="AI96" s="3" t="s">
        <v>113</v>
      </c>
      <c r="AJ96" s="3">
        <v>815.8768</v>
      </c>
      <c r="AK96" s="3" t="s">
        <v>3929</v>
      </c>
      <c r="AL96" s="3" t="s">
        <v>113</v>
      </c>
      <c r="AM96" s="3" t="s">
        <v>113</v>
      </c>
      <c r="AN96" s="3" t="s">
        <v>113</v>
      </c>
      <c r="AO96" s="3" t="s">
        <v>131</v>
      </c>
      <c r="AP96" s="3" t="s">
        <v>3930</v>
      </c>
      <c r="AQ96" s="3" t="s">
        <v>3481</v>
      </c>
      <c r="AR96" s="3" t="s">
        <v>3931</v>
      </c>
      <c r="AS96" s="3" t="s">
        <v>3932</v>
      </c>
      <c r="AT96" s="3" t="s">
        <v>3933</v>
      </c>
      <c r="AU96" s="3" t="s">
        <v>3934</v>
      </c>
      <c r="AV96" s="7">
        <v>0.114</v>
      </c>
      <c r="AY96" s="3" t="s">
        <v>3371</v>
      </c>
      <c r="BA96" s="3" t="s">
        <v>3936</v>
      </c>
      <c r="BB96" s="3" t="s">
        <v>3937</v>
      </c>
      <c r="BC96" s="3" t="s">
        <v>3816</v>
      </c>
      <c r="BD96" s="3" t="s">
        <v>3938</v>
      </c>
      <c r="BE96" s="3" t="s">
        <v>3939</v>
      </c>
      <c r="BF96" s="3" t="s">
        <v>3492</v>
      </c>
      <c r="BG96" s="3" t="s">
        <v>3471</v>
      </c>
      <c r="BH96" s="3" t="s">
        <v>3816</v>
      </c>
      <c r="BI96" s="3" t="s">
        <v>3940</v>
      </c>
      <c r="BJ96" s="3" t="s">
        <v>3941</v>
      </c>
      <c r="BK96" s="3" t="s">
        <v>3433</v>
      </c>
      <c r="BL96" s="3" t="s">
        <v>3942</v>
      </c>
      <c r="BM96" s="3" t="s">
        <v>3620</v>
      </c>
      <c r="BN96" s="3" t="s">
        <v>3725</v>
      </c>
      <c r="BO96" s="3">
        <v>1.0500000000000001E-2</v>
      </c>
      <c r="BP96" s="3">
        <v>1.0500000000000001E-2</v>
      </c>
      <c r="BQ96" s="3">
        <v>1.0500000000000001E-2</v>
      </c>
      <c r="BR96" s="3">
        <v>148</v>
      </c>
      <c r="BS96" s="3">
        <v>136</v>
      </c>
      <c r="BT96" s="3">
        <v>19</v>
      </c>
      <c r="BU96" s="3">
        <v>476</v>
      </c>
      <c r="BV96" s="3">
        <v>655</v>
      </c>
      <c r="BW96" s="3">
        <v>699</v>
      </c>
      <c r="BX96" s="3">
        <v>1090</v>
      </c>
      <c r="BY96" s="3" t="s">
        <v>111</v>
      </c>
      <c r="BZ96" s="3" t="s">
        <v>153</v>
      </c>
      <c r="CA96" s="3">
        <v>0</v>
      </c>
      <c r="CB96" s="3" t="s">
        <v>111</v>
      </c>
      <c r="CC96" s="3" t="s">
        <v>111</v>
      </c>
      <c r="CD96" s="3" t="s">
        <v>1167</v>
      </c>
      <c r="CE96" s="3" t="s">
        <v>111</v>
      </c>
      <c r="CF96" s="3">
        <v>5022</v>
      </c>
      <c r="CI96" s="3">
        <f t="shared" si="8"/>
        <v>0.19950000000000001</v>
      </c>
      <c r="CN96" s="3" t="s">
        <v>3371</v>
      </c>
      <c r="CO96" s="3" t="s">
        <v>4708</v>
      </c>
    </row>
    <row r="97" spans="1:93" ht="16" x14ac:dyDescent="0.2">
      <c r="A97" s="3" t="s">
        <v>3372</v>
      </c>
      <c r="C97" s="4" t="s">
        <v>4726</v>
      </c>
      <c r="D97" s="4">
        <v>12</v>
      </c>
      <c r="E97" s="5" t="s">
        <v>4732</v>
      </c>
      <c r="G97" s="3" t="s">
        <v>4708</v>
      </c>
      <c r="H97" s="3">
        <v>18052</v>
      </c>
      <c r="I97" s="14">
        <v>45156.61041666667</v>
      </c>
      <c r="J97" s="14">
        <v>45168.800694444442</v>
      </c>
      <c r="K97" s="3" t="s">
        <v>1195</v>
      </c>
      <c r="L97" s="3" t="s">
        <v>111</v>
      </c>
      <c r="M97" s="3" t="s">
        <v>111</v>
      </c>
      <c r="N97" s="3" t="s">
        <v>111</v>
      </c>
      <c r="O97" s="3" t="s">
        <v>112</v>
      </c>
      <c r="P97" s="3" t="s">
        <v>113</v>
      </c>
      <c r="Q97" s="3" t="s">
        <v>113</v>
      </c>
      <c r="R97" s="3">
        <v>0</v>
      </c>
      <c r="S97" s="3" t="s">
        <v>113</v>
      </c>
      <c r="T97" s="3">
        <v>0.8</v>
      </c>
      <c r="U97" s="3">
        <v>1</v>
      </c>
      <c r="V97" s="3">
        <v>270</v>
      </c>
      <c r="W97" s="3">
        <v>6</v>
      </c>
      <c r="X97" s="3">
        <v>8847</v>
      </c>
      <c r="Y97" s="3">
        <v>4.6800000000000001E-2</v>
      </c>
      <c r="Z97" s="3">
        <v>4.0800000000000003E-2</v>
      </c>
      <c r="AA97" s="3">
        <v>0.87019999999999997</v>
      </c>
      <c r="AB97" s="3" t="s">
        <v>113</v>
      </c>
      <c r="AC97" s="3" t="s">
        <v>3957</v>
      </c>
      <c r="AD97" s="3" t="s">
        <v>113</v>
      </c>
      <c r="AE97" s="3" t="s">
        <v>113</v>
      </c>
      <c r="AF97" s="3" t="s">
        <v>113</v>
      </c>
      <c r="AG97" s="3" t="s">
        <v>113</v>
      </c>
      <c r="AH97" s="3" t="s">
        <v>113</v>
      </c>
      <c r="AI97" s="3" t="s">
        <v>113</v>
      </c>
      <c r="AJ97" s="3">
        <v>790.2183</v>
      </c>
      <c r="AK97" s="3" t="s">
        <v>3958</v>
      </c>
      <c r="AL97" s="3" t="s">
        <v>113</v>
      </c>
      <c r="AM97" s="3" t="s">
        <v>113</v>
      </c>
      <c r="AN97" s="3" t="s">
        <v>113</v>
      </c>
      <c r="AO97" s="3" t="s">
        <v>131</v>
      </c>
      <c r="AP97" s="3" t="s">
        <v>3470</v>
      </c>
      <c r="AQ97" s="3" t="s">
        <v>3959</v>
      </c>
      <c r="AR97" s="3" t="s">
        <v>3526</v>
      </c>
      <c r="AS97" s="3" t="s">
        <v>3960</v>
      </c>
      <c r="AT97" s="3" t="s">
        <v>3961</v>
      </c>
      <c r="AU97" s="3" t="s">
        <v>3962</v>
      </c>
      <c r="AV97" s="7">
        <v>9.4E-2</v>
      </c>
      <c r="AY97" s="3" t="s">
        <v>3372</v>
      </c>
      <c r="BA97" s="3" t="s">
        <v>3963</v>
      </c>
      <c r="BB97" s="3" t="s">
        <v>3964</v>
      </c>
      <c r="BC97" s="3" t="s">
        <v>3965</v>
      </c>
      <c r="BD97" s="3" t="s">
        <v>3748</v>
      </c>
      <c r="BE97" s="3" t="s">
        <v>3966</v>
      </c>
      <c r="BF97" s="3" t="s">
        <v>3492</v>
      </c>
      <c r="BG97" s="3" t="s">
        <v>3429</v>
      </c>
      <c r="BH97" s="3" t="s">
        <v>3965</v>
      </c>
      <c r="BI97" s="3" t="s">
        <v>3967</v>
      </c>
      <c r="BJ97" s="3" t="s">
        <v>3968</v>
      </c>
      <c r="BK97" s="3" t="s">
        <v>3433</v>
      </c>
      <c r="BL97" s="3" t="s">
        <v>3536</v>
      </c>
      <c r="BM97" s="3" t="s">
        <v>3969</v>
      </c>
      <c r="BN97" s="3" t="s">
        <v>3436</v>
      </c>
      <c r="BO97" s="3">
        <v>1.0500000000000001E-2</v>
      </c>
      <c r="BP97" s="3">
        <v>1.0500000000000001E-2</v>
      </c>
      <c r="BQ97" s="3">
        <v>1.0500000000000001E-2</v>
      </c>
      <c r="BR97" s="3">
        <v>128</v>
      </c>
      <c r="BS97" s="3">
        <v>136</v>
      </c>
      <c r="BT97" s="3">
        <v>13</v>
      </c>
      <c r="BU97" s="3">
        <v>1167</v>
      </c>
      <c r="BV97" s="3">
        <v>520</v>
      </c>
      <c r="BW97" s="3">
        <v>538</v>
      </c>
      <c r="BX97" s="3">
        <v>980</v>
      </c>
      <c r="BY97" s="3" t="s">
        <v>111</v>
      </c>
      <c r="BZ97" s="3" t="s">
        <v>153</v>
      </c>
      <c r="CA97" s="3">
        <v>0</v>
      </c>
      <c r="CB97" s="3" t="s">
        <v>111</v>
      </c>
      <c r="CC97" s="3" t="s">
        <v>111</v>
      </c>
      <c r="CD97" s="3" t="s">
        <v>1224</v>
      </c>
      <c r="CE97" s="3" t="s">
        <v>111</v>
      </c>
      <c r="CF97" s="3">
        <v>5022</v>
      </c>
      <c r="CI97" s="3">
        <f t="shared" si="8"/>
        <v>0.13650000000000001</v>
      </c>
      <c r="CN97" s="3" t="s">
        <v>3372</v>
      </c>
      <c r="CO97" s="3" t="s">
        <v>4708</v>
      </c>
    </row>
    <row r="98" spans="1:93" x14ac:dyDescent="0.2">
      <c r="A98" s="3" t="s">
        <v>3407</v>
      </c>
      <c r="C98" s="5" t="s">
        <v>4726</v>
      </c>
      <c r="D98" s="8">
        <v>11</v>
      </c>
      <c r="E98" s="5" t="s">
        <v>4732</v>
      </c>
      <c r="G98" s="3" t="s">
        <v>4708</v>
      </c>
      <c r="H98" s="3">
        <v>17303</v>
      </c>
      <c r="I98" s="14">
        <v>44747.633333333331</v>
      </c>
      <c r="J98" s="14">
        <v>45159.768055555556</v>
      </c>
      <c r="K98" s="3" t="s">
        <v>2986</v>
      </c>
      <c r="L98" s="3" t="s">
        <v>111</v>
      </c>
      <c r="M98" s="3" t="s">
        <v>111</v>
      </c>
      <c r="N98" s="3" t="s">
        <v>111</v>
      </c>
      <c r="O98" s="3" t="s">
        <v>112</v>
      </c>
      <c r="P98" s="3" t="s">
        <v>2165</v>
      </c>
      <c r="Q98" s="3" t="s">
        <v>2166</v>
      </c>
      <c r="R98" s="3">
        <v>36</v>
      </c>
      <c r="S98" s="3" t="s">
        <v>2167</v>
      </c>
      <c r="T98" s="3">
        <v>0.8</v>
      </c>
      <c r="U98" s="3">
        <v>1</v>
      </c>
      <c r="V98" s="3">
        <v>270</v>
      </c>
      <c r="W98" s="3">
        <v>6</v>
      </c>
      <c r="X98" s="3">
        <v>8847</v>
      </c>
      <c r="Y98" s="3">
        <v>5.5599999999999997E-2</v>
      </c>
      <c r="Z98" s="3">
        <v>5.2699999999999997E-2</v>
      </c>
      <c r="AA98" s="3">
        <v>0.94669999999999999</v>
      </c>
      <c r="AB98" s="3" t="s">
        <v>113</v>
      </c>
      <c r="AC98" s="3" t="s">
        <v>4663</v>
      </c>
      <c r="AD98" s="3" t="s">
        <v>113</v>
      </c>
      <c r="AE98" s="3" t="s">
        <v>113</v>
      </c>
      <c r="AF98" s="3" t="s">
        <v>113</v>
      </c>
      <c r="AG98" s="3" t="s">
        <v>113</v>
      </c>
      <c r="AH98" s="3" t="s">
        <v>113</v>
      </c>
      <c r="AI98" s="3" t="s">
        <v>113</v>
      </c>
      <c r="AJ98" s="3">
        <v>903.02850000000001</v>
      </c>
      <c r="AK98" s="3" t="s">
        <v>4664</v>
      </c>
      <c r="AL98" s="3" t="s">
        <v>113</v>
      </c>
      <c r="AM98" s="3" t="s">
        <v>113</v>
      </c>
      <c r="AN98" s="3" t="s">
        <v>113</v>
      </c>
      <c r="AO98" s="3" t="s">
        <v>131</v>
      </c>
      <c r="AP98" s="3" t="s">
        <v>4540</v>
      </c>
      <c r="AQ98" s="3" t="s">
        <v>3533</v>
      </c>
      <c r="AR98" s="3" t="s">
        <v>3980</v>
      </c>
      <c r="AS98" s="3" t="s">
        <v>4665</v>
      </c>
      <c r="AT98" s="3" t="s">
        <v>4666</v>
      </c>
      <c r="AU98" s="3" t="s">
        <v>4667</v>
      </c>
      <c r="AV98" s="7">
        <v>0.14799999999999999</v>
      </c>
      <c r="AY98" s="3" t="s">
        <v>3407</v>
      </c>
      <c r="BA98" s="3" t="s">
        <v>4668</v>
      </c>
      <c r="BB98" s="3" t="s">
        <v>4669</v>
      </c>
      <c r="BC98" s="3" t="s">
        <v>3722</v>
      </c>
      <c r="BD98" s="3" t="s">
        <v>3786</v>
      </c>
      <c r="BE98" s="3" t="s">
        <v>4253</v>
      </c>
      <c r="BF98" s="3" t="s">
        <v>3495</v>
      </c>
      <c r="BG98" s="3" t="s">
        <v>3430</v>
      </c>
      <c r="BH98" s="3" t="s">
        <v>3510</v>
      </c>
      <c r="BI98" s="3" t="s">
        <v>4670</v>
      </c>
      <c r="BJ98" s="3" t="s">
        <v>4363</v>
      </c>
      <c r="BK98" s="3" t="s">
        <v>3532</v>
      </c>
      <c r="BL98" s="3" t="s">
        <v>3536</v>
      </c>
      <c r="BM98" s="3" t="s">
        <v>3804</v>
      </c>
      <c r="BN98" s="3" t="s">
        <v>3618</v>
      </c>
      <c r="BO98" s="3">
        <v>1.0500000000000001E-2</v>
      </c>
      <c r="BP98" s="3">
        <v>1.0500000000000001E-2</v>
      </c>
      <c r="BQ98" s="3">
        <v>1.0500000000000001E-2</v>
      </c>
      <c r="BR98" s="3">
        <v>88</v>
      </c>
      <c r="BS98" s="3">
        <v>112</v>
      </c>
      <c r="BT98" s="3">
        <v>18</v>
      </c>
      <c r="BU98" s="3">
        <v>1060</v>
      </c>
      <c r="BV98" s="3">
        <v>354</v>
      </c>
      <c r="BW98" s="3">
        <v>824</v>
      </c>
      <c r="BX98" s="3">
        <v>1126</v>
      </c>
      <c r="BY98" s="3" t="s">
        <v>153</v>
      </c>
      <c r="BZ98" s="3" t="s">
        <v>153</v>
      </c>
      <c r="CA98" s="3">
        <v>0</v>
      </c>
      <c r="CB98" s="3" t="s">
        <v>2990</v>
      </c>
      <c r="CC98" s="3" t="s">
        <v>111</v>
      </c>
      <c r="CD98" s="3" t="s">
        <v>2990</v>
      </c>
      <c r="CE98" s="3" t="s">
        <v>111</v>
      </c>
      <c r="CF98" s="3">
        <v>5022</v>
      </c>
      <c r="CI98" s="3">
        <f t="shared" si="8"/>
        <v>0.189</v>
      </c>
      <c r="CN98" s="3" t="s">
        <v>3407</v>
      </c>
      <c r="CO98" s="3" t="s">
        <v>4708</v>
      </c>
    </row>
    <row r="99" spans="1:93" x14ac:dyDescent="0.2">
      <c r="A99" s="3" t="s">
        <v>3408</v>
      </c>
      <c r="C99" s="5" t="s">
        <v>4726</v>
      </c>
      <c r="D99" s="8">
        <v>11</v>
      </c>
      <c r="E99" s="5" t="s">
        <v>4732</v>
      </c>
      <c r="G99" s="3" t="s">
        <v>4708</v>
      </c>
      <c r="H99" s="3">
        <v>17303</v>
      </c>
      <c r="I99" s="14">
        <v>44747.633333333331</v>
      </c>
      <c r="J99" s="14">
        <v>45159.769444444442</v>
      </c>
      <c r="K99" s="3" t="s">
        <v>2986</v>
      </c>
      <c r="L99" s="3" t="s">
        <v>111</v>
      </c>
      <c r="M99" s="3" t="s">
        <v>111</v>
      </c>
      <c r="N99" s="3" t="s">
        <v>111</v>
      </c>
      <c r="O99" s="3" t="s">
        <v>112</v>
      </c>
      <c r="P99" s="3" t="s">
        <v>2165</v>
      </c>
      <c r="Q99" s="3" t="s">
        <v>2166</v>
      </c>
      <c r="R99" s="3">
        <v>36</v>
      </c>
      <c r="S99" s="3" t="s">
        <v>2167</v>
      </c>
      <c r="T99" s="3">
        <v>0.8</v>
      </c>
      <c r="U99" s="3">
        <v>1</v>
      </c>
      <c r="V99" s="3">
        <v>270</v>
      </c>
      <c r="W99" s="3">
        <v>6</v>
      </c>
      <c r="X99" s="3">
        <v>8847</v>
      </c>
      <c r="Y99" s="3">
        <v>6.3500000000000001E-2</v>
      </c>
      <c r="Z99" s="3">
        <v>5.8599999999999999E-2</v>
      </c>
      <c r="AA99" s="3">
        <v>0.92259999999999998</v>
      </c>
      <c r="AB99" s="3" t="s">
        <v>113</v>
      </c>
      <c r="AC99" s="3" t="s">
        <v>4671</v>
      </c>
      <c r="AD99" s="3" t="s">
        <v>113</v>
      </c>
      <c r="AE99" s="3" t="s">
        <v>113</v>
      </c>
      <c r="AF99" s="3" t="s">
        <v>113</v>
      </c>
      <c r="AG99" s="3" t="s">
        <v>113</v>
      </c>
      <c r="AH99" s="3" t="s">
        <v>113</v>
      </c>
      <c r="AI99" s="3" t="s">
        <v>113</v>
      </c>
      <c r="AJ99" s="3">
        <v>876.13430000000005</v>
      </c>
      <c r="AK99" s="3" t="s">
        <v>4672</v>
      </c>
      <c r="AL99" s="3" t="s">
        <v>113</v>
      </c>
      <c r="AM99" s="3" t="s">
        <v>113</v>
      </c>
      <c r="AN99" s="3" t="s">
        <v>113</v>
      </c>
      <c r="AO99" s="3" t="s">
        <v>131</v>
      </c>
      <c r="AP99" s="3" t="s">
        <v>3966</v>
      </c>
      <c r="AQ99" s="3" t="s">
        <v>3953</v>
      </c>
      <c r="AR99" s="3" t="s">
        <v>4159</v>
      </c>
      <c r="AS99" s="3" t="s">
        <v>4673</v>
      </c>
      <c r="AT99" s="3" t="s">
        <v>4674</v>
      </c>
      <c r="AU99" s="3" t="s">
        <v>4675</v>
      </c>
      <c r="AV99" s="7">
        <v>0.14899999999999999</v>
      </c>
      <c r="AY99" s="3" t="s">
        <v>3408</v>
      </c>
      <c r="BA99" s="3" t="s">
        <v>3739</v>
      </c>
      <c r="BB99" s="3" t="s">
        <v>4676</v>
      </c>
      <c r="BC99" s="3" t="s">
        <v>4278</v>
      </c>
      <c r="BD99" s="3" t="s">
        <v>4677</v>
      </c>
      <c r="BE99" s="3" t="s">
        <v>4253</v>
      </c>
      <c r="BF99" s="3" t="s">
        <v>3436</v>
      </c>
      <c r="BG99" s="3" t="s">
        <v>3566</v>
      </c>
      <c r="BH99" s="3" t="s">
        <v>4343</v>
      </c>
      <c r="BI99" s="3" t="s">
        <v>3804</v>
      </c>
      <c r="BJ99" s="3" t="s">
        <v>3976</v>
      </c>
      <c r="BK99" s="3" t="s">
        <v>3566</v>
      </c>
      <c r="BL99" s="3" t="s">
        <v>4503</v>
      </c>
      <c r="BM99" s="3" t="s">
        <v>3672</v>
      </c>
      <c r="BN99" s="3" t="s">
        <v>3554</v>
      </c>
      <c r="BO99" s="3">
        <v>1.0500000000000001E-2</v>
      </c>
      <c r="BP99" s="3">
        <v>1.0500000000000001E-2</v>
      </c>
      <c r="BQ99" s="3">
        <v>1.0500000000000001E-2</v>
      </c>
      <c r="BR99" s="3">
        <v>80</v>
      </c>
      <c r="BS99" s="3">
        <v>124</v>
      </c>
      <c r="BT99" s="3">
        <v>19</v>
      </c>
      <c r="BU99" s="3">
        <v>1385</v>
      </c>
      <c r="BV99" s="3">
        <v>546</v>
      </c>
      <c r="BW99" s="3">
        <v>649</v>
      </c>
      <c r="BX99" s="3">
        <v>1126</v>
      </c>
      <c r="BY99" s="3" t="s">
        <v>153</v>
      </c>
      <c r="BZ99" s="3" t="s">
        <v>153</v>
      </c>
      <c r="CA99" s="3">
        <v>0</v>
      </c>
      <c r="CB99" s="3" t="s">
        <v>2990</v>
      </c>
      <c r="CC99" s="3" t="s">
        <v>111</v>
      </c>
      <c r="CD99" s="3" t="s">
        <v>2990</v>
      </c>
      <c r="CE99" s="3" t="s">
        <v>111</v>
      </c>
      <c r="CF99" s="3">
        <v>5022</v>
      </c>
      <c r="CI99" s="3">
        <f t="shared" si="8"/>
        <v>0.19950000000000001</v>
      </c>
      <c r="CN99" s="3" t="s">
        <v>3408</v>
      </c>
      <c r="CO99" s="3" t="s">
        <v>4708</v>
      </c>
    </row>
    <row r="100" spans="1:93" x14ac:dyDescent="0.2">
      <c r="A100" s="3" t="s">
        <v>3409</v>
      </c>
      <c r="C100" s="5" t="s">
        <v>4726</v>
      </c>
      <c r="D100" s="8">
        <v>11</v>
      </c>
      <c r="E100" s="5" t="s">
        <v>4732</v>
      </c>
      <c r="G100" s="3" t="s">
        <v>4708</v>
      </c>
      <c r="H100" s="3">
        <v>17303</v>
      </c>
      <c r="I100" s="14">
        <v>44747.633333333331</v>
      </c>
      <c r="J100" s="14">
        <v>45159.770138888889</v>
      </c>
      <c r="K100" s="3" t="s">
        <v>2986</v>
      </c>
      <c r="L100" s="3" t="s">
        <v>111</v>
      </c>
      <c r="M100" s="3" t="s">
        <v>111</v>
      </c>
      <c r="N100" s="3" t="s">
        <v>111</v>
      </c>
      <c r="O100" s="3" t="s">
        <v>112</v>
      </c>
      <c r="P100" s="3" t="s">
        <v>2165</v>
      </c>
      <c r="Q100" s="3" t="s">
        <v>2166</v>
      </c>
      <c r="R100" s="3">
        <v>36</v>
      </c>
      <c r="S100" s="3" t="s">
        <v>2167</v>
      </c>
      <c r="T100" s="3">
        <v>0.8</v>
      </c>
      <c r="U100" s="3">
        <v>1</v>
      </c>
      <c r="V100" s="3">
        <v>270</v>
      </c>
      <c r="W100" s="3">
        <v>6</v>
      </c>
      <c r="X100" s="3">
        <v>8847</v>
      </c>
      <c r="Y100" s="3">
        <v>6.8000000000000005E-2</v>
      </c>
      <c r="Z100" s="3">
        <v>5.8299999999999998E-2</v>
      </c>
      <c r="AA100" s="3">
        <v>0.85819999999999996</v>
      </c>
      <c r="AB100" s="3" t="s">
        <v>113</v>
      </c>
      <c r="AC100" s="3" t="s">
        <v>4678</v>
      </c>
      <c r="AD100" s="3" t="s">
        <v>113</v>
      </c>
      <c r="AE100" s="3" t="s">
        <v>113</v>
      </c>
      <c r="AF100" s="3" t="s">
        <v>113</v>
      </c>
      <c r="AG100" s="3" t="s">
        <v>113</v>
      </c>
      <c r="AH100" s="3" t="s">
        <v>113</v>
      </c>
      <c r="AI100" s="3" t="s">
        <v>113</v>
      </c>
      <c r="AJ100" s="3">
        <v>804.31949999999995</v>
      </c>
      <c r="AK100" s="3" t="s">
        <v>4679</v>
      </c>
      <c r="AL100" s="3" t="s">
        <v>113</v>
      </c>
      <c r="AM100" s="3" t="s">
        <v>113</v>
      </c>
      <c r="AN100" s="3" t="s">
        <v>113</v>
      </c>
      <c r="AO100" s="3" t="s">
        <v>131</v>
      </c>
      <c r="AP100" s="3" t="s">
        <v>3441</v>
      </c>
      <c r="AQ100" s="3" t="s">
        <v>3569</v>
      </c>
      <c r="AR100" s="3" t="s">
        <v>4502</v>
      </c>
      <c r="AS100" s="3" t="s">
        <v>4680</v>
      </c>
      <c r="AT100" s="3" t="s">
        <v>4681</v>
      </c>
      <c r="AU100" s="3" t="s">
        <v>4682</v>
      </c>
      <c r="AV100" s="7">
        <v>0.11700000000000001</v>
      </c>
      <c r="AY100" s="3" t="s">
        <v>3409</v>
      </c>
      <c r="BA100" s="3" t="s">
        <v>4325</v>
      </c>
      <c r="BB100" s="3" t="s">
        <v>4683</v>
      </c>
      <c r="BC100" s="3" t="s">
        <v>3468</v>
      </c>
      <c r="BD100" s="3" t="s">
        <v>3877</v>
      </c>
      <c r="BE100" s="3" t="s">
        <v>3550</v>
      </c>
      <c r="BF100" s="3" t="s">
        <v>3566</v>
      </c>
      <c r="BG100" s="3" t="s">
        <v>3745</v>
      </c>
      <c r="BH100" s="3" t="s">
        <v>3468</v>
      </c>
      <c r="BI100" s="3" t="s">
        <v>4684</v>
      </c>
      <c r="BJ100" s="3" t="s">
        <v>3762</v>
      </c>
      <c r="BK100" s="3" t="s">
        <v>3515</v>
      </c>
      <c r="BL100" s="3" t="s">
        <v>3571</v>
      </c>
      <c r="BM100" s="3" t="s">
        <v>3716</v>
      </c>
      <c r="BN100" s="3" t="s">
        <v>4421</v>
      </c>
      <c r="BO100" s="3">
        <v>1.0500000000000001E-2</v>
      </c>
      <c r="BP100" s="3">
        <v>1.0500000000000001E-2</v>
      </c>
      <c r="BQ100" s="3">
        <v>1.0500000000000001E-2</v>
      </c>
      <c r="BR100" s="3">
        <v>120</v>
      </c>
      <c r="BS100" s="3">
        <v>124</v>
      </c>
      <c r="BT100" s="3">
        <v>17</v>
      </c>
      <c r="BU100" s="3">
        <v>1450</v>
      </c>
      <c r="BV100" s="3">
        <v>1235</v>
      </c>
      <c r="BW100" s="3">
        <v>647</v>
      </c>
      <c r="BX100" s="3">
        <v>1126</v>
      </c>
      <c r="BY100" s="3" t="s">
        <v>153</v>
      </c>
      <c r="BZ100" s="3" t="s">
        <v>153</v>
      </c>
      <c r="CA100" s="3">
        <v>0</v>
      </c>
      <c r="CB100" s="3" t="s">
        <v>2990</v>
      </c>
      <c r="CC100" s="3" t="s">
        <v>111</v>
      </c>
      <c r="CD100" s="3" t="s">
        <v>2990</v>
      </c>
      <c r="CE100" s="3" t="s">
        <v>111</v>
      </c>
      <c r="CF100" s="3">
        <v>5022</v>
      </c>
      <c r="CI100" s="3">
        <f t="shared" si="8"/>
        <v>0.17850000000000002</v>
      </c>
      <c r="CN100" s="3" t="s">
        <v>3409</v>
      </c>
      <c r="CO100" s="3" t="s">
        <v>4708</v>
      </c>
    </row>
    <row r="101" spans="1:93" x14ac:dyDescent="0.2">
      <c r="A101" s="3" t="s">
        <v>3410</v>
      </c>
      <c r="C101" s="5" t="s">
        <v>4727</v>
      </c>
      <c r="D101" s="8">
        <v>11</v>
      </c>
      <c r="E101" s="5" t="s">
        <v>4732</v>
      </c>
      <c r="G101" s="3" t="s">
        <v>4708</v>
      </c>
      <c r="H101" s="3">
        <v>17303</v>
      </c>
      <c r="I101" s="14">
        <v>44747.633333333331</v>
      </c>
      <c r="J101" s="14">
        <v>45159.770833333336</v>
      </c>
      <c r="K101" s="3" t="s">
        <v>2986</v>
      </c>
      <c r="L101" s="3" t="s">
        <v>111</v>
      </c>
      <c r="M101" s="3" t="s">
        <v>111</v>
      </c>
      <c r="N101" s="3" t="s">
        <v>111</v>
      </c>
      <c r="O101" s="3" t="s">
        <v>112</v>
      </c>
      <c r="P101" s="3" t="s">
        <v>2165</v>
      </c>
      <c r="Q101" s="3" t="s">
        <v>2166</v>
      </c>
      <c r="R101" s="3">
        <v>36</v>
      </c>
      <c r="S101" s="3" t="s">
        <v>2167</v>
      </c>
      <c r="T101" s="3">
        <v>0.8</v>
      </c>
      <c r="U101" s="3">
        <v>1</v>
      </c>
      <c r="V101" s="3">
        <v>270</v>
      </c>
      <c r="W101" s="3">
        <v>6</v>
      </c>
      <c r="X101" s="3">
        <v>8847</v>
      </c>
      <c r="Y101" s="3">
        <v>5.67E-2</v>
      </c>
      <c r="Z101" s="3">
        <v>4.48E-2</v>
      </c>
      <c r="AA101" s="3">
        <v>0.79059999999999997</v>
      </c>
      <c r="AB101" s="3" t="s">
        <v>113</v>
      </c>
      <c r="AC101" s="3" t="s">
        <v>4685</v>
      </c>
      <c r="AD101" s="3" t="s">
        <v>113</v>
      </c>
      <c r="AE101" s="3" t="s">
        <v>113</v>
      </c>
      <c r="AF101" s="3" t="s">
        <v>113</v>
      </c>
      <c r="AG101" s="3" t="s">
        <v>113</v>
      </c>
      <c r="AH101" s="3" t="s">
        <v>113</v>
      </c>
      <c r="AI101" s="3" t="s">
        <v>113</v>
      </c>
      <c r="AJ101" s="3">
        <v>724.72730000000001</v>
      </c>
      <c r="AK101" s="3" t="s">
        <v>4686</v>
      </c>
      <c r="AL101" s="3" t="s">
        <v>113</v>
      </c>
      <c r="AM101" s="3" t="s">
        <v>113</v>
      </c>
      <c r="AN101" s="3" t="s">
        <v>113</v>
      </c>
      <c r="AO101" s="3" t="s">
        <v>131</v>
      </c>
      <c r="AP101" s="3" t="s">
        <v>3838</v>
      </c>
      <c r="AQ101" s="3" t="s">
        <v>3607</v>
      </c>
      <c r="AR101" s="3" t="s">
        <v>3526</v>
      </c>
      <c r="AS101" s="3" t="s">
        <v>4687</v>
      </c>
      <c r="AT101" s="3" t="s">
        <v>4688</v>
      </c>
      <c r="AU101" s="3" t="s">
        <v>4689</v>
      </c>
      <c r="AV101" s="7">
        <v>0.10100000000000001</v>
      </c>
      <c r="AY101" s="3" t="s">
        <v>3410</v>
      </c>
      <c r="BA101" s="3" t="s">
        <v>4544</v>
      </c>
      <c r="BB101" s="3" t="s">
        <v>4690</v>
      </c>
      <c r="BC101" s="3" t="s">
        <v>4024</v>
      </c>
      <c r="BD101" s="3" t="s">
        <v>3466</v>
      </c>
      <c r="BE101" s="3" t="s">
        <v>3992</v>
      </c>
      <c r="BF101" s="3" t="s">
        <v>3515</v>
      </c>
      <c r="BG101" s="3" t="s">
        <v>3429</v>
      </c>
      <c r="BH101" s="3" t="s">
        <v>4691</v>
      </c>
      <c r="BI101" s="3" t="s">
        <v>3436</v>
      </c>
      <c r="BJ101" s="3" t="s">
        <v>3709</v>
      </c>
      <c r="BK101" s="3" t="s">
        <v>3429</v>
      </c>
      <c r="BL101" s="3" t="s">
        <v>4173</v>
      </c>
      <c r="BM101" s="3" t="s">
        <v>3474</v>
      </c>
      <c r="BN101" s="3" t="s">
        <v>3535</v>
      </c>
      <c r="BO101" s="3">
        <v>1.0500000000000001E-2</v>
      </c>
      <c r="BP101" s="3">
        <v>1.0500000000000001E-2</v>
      </c>
      <c r="BQ101" s="3">
        <v>1.0500000000000001E-2</v>
      </c>
      <c r="BR101" s="3">
        <v>128</v>
      </c>
      <c r="BS101" s="3">
        <v>108</v>
      </c>
      <c r="BT101" s="3">
        <v>18</v>
      </c>
      <c r="BU101" s="3">
        <v>1189</v>
      </c>
      <c r="BV101" s="3">
        <v>1571</v>
      </c>
      <c r="BW101" s="3">
        <v>562</v>
      </c>
      <c r="BX101" s="3">
        <v>1126</v>
      </c>
      <c r="BY101" s="3" t="s">
        <v>153</v>
      </c>
      <c r="BZ101" s="3" t="s">
        <v>153</v>
      </c>
      <c r="CA101" s="3">
        <v>0</v>
      </c>
      <c r="CB101" s="3" t="s">
        <v>2990</v>
      </c>
      <c r="CC101" s="3" t="s">
        <v>111</v>
      </c>
      <c r="CD101" s="3" t="s">
        <v>2990</v>
      </c>
      <c r="CE101" s="3" t="s">
        <v>111</v>
      </c>
      <c r="CF101" s="3">
        <v>5022</v>
      </c>
      <c r="CI101" s="3">
        <f t="shared" si="8"/>
        <v>0.189</v>
      </c>
      <c r="CN101" s="3" t="s">
        <v>3410</v>
      </c>
      <c r="CO101" s="3" t="s">
        <v>4708</v>
      </c>
    </row>
    <row r="102" spans="1:93" x14ac:dyDescent="0.2">
      <c r="A102" s="3" t="s">
        <v>3411</v>
      </c>
      <c r="C102" s="5" t="s">
        <v>4727</v>
      </c>
      <c r="D102" s="8">
        <v>11</v>
      </c>
      <c r="E102" s="5" t="s">
        <v>4732</v>
      </c>
      <c r="G102" s="3" t="s">
        <v>4708</v>
      </c>
      <c r="H102" s="3">
        <v>17303</v>
      </c>
      <c r="I102" s="14">
        <v>44747.633333333331</v>
      </c>
      <c r="J102" s="14">
        <v>45159.772222222222</v>
      </c>
      <c r="K102" s="3" t="s">
        <v>2986</v>
      </c>
      <c r="L102" s="3" t="s">
        <v>111</v>
      </c>
      <c r="M102" s="3" t="s">
        <v>111</v>
      </c>
      <c r="N102" s="3" t="s">
        <v>111</v>
      </c>
      <c r="O102" s="3" t="s">
        <v>112</v>
      </c>
      <c r="P102" s="3" t="s">
        <v>2165</v>
      </c>
      <c r="Q102" s="3" t="s">
        <v>2166</v>
      </c>
      <c r="R102" s="3">
        <v>36</v>
      </c>
      <c r="S102" s="3" t="s">
        <v>2167</v>
      </c>
      <c r="T102" s="3">
        <v>0.8</v>
      </c>
      <c r="U102" s="3">
        <v>1</v>
      </c>
      <c r="V102" s="3">
        <v>270</v>
      </c>
      <c r="W102" s="3">
        <v>6</v>
      </c>
      <c r="X102" s="3">
        <v>8847</v>
      </c>
      <c r="Y102" s="3">
        <v>0.13139999999999999</v>
      </c>
      <c r="Z102" s="3">
        <v>0.1113</v>
      </c>
      <c r="AA102" s="3">
        <v>0.84689999999999999</v>
      </c>
      <c r="AB102" s="3" t="s">
        <v>113</v>
      </c>
      <c r="AC102" s="3" t="s">
        <v>4692</v>
      </c>
      <c r="AD102" s="3" t="s">
        <v>113</v>
      </c>
      <c r="AE102" s="3" t="s">
        <v>113</v>
      </c>
      <c r="AF102" s="3" t="s">
        <v>113</v>
      </c>
      <c r="AG102" s="3" t="s">
        <v>113</v>
      </c>
      <c r="AH102" s="3" t="s">
        <v>113</v>
      </c>
      <c r="AI102" s="3" t="s">
        <v>113</v>
      </c>
      <c r="AJ102" s="3">
        <v>832.3768</v>
      </c>
      <c r="AK102" s="3" t="s">
        <v>4693</v>
      </c>
      <c r="AL102" s="3" t="s">
        <v>113</v>
      </c>
      <c r="AM102" s="3" t="s">
        <v>113</v>
      </c>
      <c r="AN102" s="3" t="s">
        <v>113</v>
      </c>
      <c r="AO102" s="3" t="s">
        <v>131</v>
      </c>
      <c r="AP102" s="3" t="s">
        <v>4344</v>
      </c>
      <c r="AQ102" s="3" t="s">
        <v>4440</v>
      </c>
      <c r="AR102" s="3" t="s">
        <v>4154</v>
      </c>
      <c r="AS102" s="3" t="s">
        <v>4694</v>
      </c>
      <c r="AT102" s="3" t="s">
        <v>4695</v>
      </c>
      <c r="AU102" s="3" t="s">
        <v>4689</v>
      </c>
      <c r="AV102" s="7">
        <v>0.151</v>
      </c>
      <c r="AY102" s="3" t="s">
        <v>3411</v>
      </c>
      <c r="BA102" s="3" t="s">
        <v>4696</v>
      </c>
      <c r="BB102" s="3" t="s">
        <v>4697</v>
      </c>
      <c r="BC102" s="3" t="s">
        <v>4553</v>
      </c>
      <c r="BD102" s="3" t="s">
        <v>3938</v>
      </c>
      <c r="BE102" s="3" t="s">
        <v>3854</v>
      </c>
      <c r="BF102" s="3" t="s">
        <v>3566</v>
      </c>
      <c r="BG102" s="3" t="s">
        <v>3471</v>
      </c>
      <c r="BH102" s="3" t="s">
        <v>4553</v>
      </c>
      <c r="BI102" s="3" t="s">
        <v>4266</v>
      </c>
      <c r="BJ102" s="3" t="s">
        <v>4363</v>
      </c>
      <c r="BK102" s="3" t="s">
        <v>3903</v>
      </c>
      <c r="BL102" s="3" t="s">
        <v>3744</v>
      </c>
      <c r="BM102" s="3" t="s">
        <v>3465</v>
      </c>
      <c r="BN102" s="3" t="s">
        <v>3451</v>
      </c>
      <c r="BO102" s="3">
        <v>1.0500000000000001E-2</v>
      </c>
      <c r="BP102" s="3">
        <v>1.0500000000000001E-2</v>
      </c>
      <c r="BQ102" s="3">
        <v>1.0500000000000001E-2</v>
      </c>
      <c r="BR102" s="3">
        <v>144</v>
      </c>
      <c r="BS102" s="3">
        <v>116</v>
      </c>
      <c r="BT102" s="3">
        <v>25</v>
      </c>
      <c r="BU102" s="3">
        <v>553</v>
      </c>
      <c r="BV102" s="3">
        <v>1507</v>
      </c>
      <c r="BW102" s="3">
        <v>803</v>
      </c>
      <c r="BX102" s="3">
        <v>1126</v>
      </c>
      <c r="BY102" s="3" t="s">
        <v>153</v>
      </c>
      <c r="BZ102" s="3" t="s">
        <v>153</v>
      </c>
      <c r="CA102" s="3">
        <v>0</v>
      </c>
      <c r="CB102" s="3" t="s">
        <v>2990</v>
      </c>
      <c r="CC102" s="3" t="s">
        <v>111</v>
      </c>
      <c r="CD102" s="3" t="s">
        <v>2990</v>
      </c>
      <c r="CE102" s="3" t="s">
        <v>111</v>
      </c>
      <c r="CF102" s="3">
        <v>5022</v>
      </c>
      <c r="CI102" s="3">
        <f t="shared" si="8"/>
        <v>0.26250000000000001</v>
      </c>
      <c r="CN102" s="3" t="s">
        <v>3411</v>
      </c>
      <c r="CO102" s="3" t="s">
        <v>4708</v>
      </c>
    </row>
    <row r="103" spans="1:93" x14ac:dyDescent="0.2">
      <c r="A103" s="3" t="s">
        <v>3412</v>
      </c>
      <c r="C103" s="5" t="s">
        <v>4727</v>
      </c>
      <c r="D103" s="8">
        <v>11</v>
      </c>
      <c r="E103" s="5" t="s">
        <v>4732</v>
      </c>
      <c r="G103" s="3" t="s">
        <v>4708</v>
      </c>
      <c r="H103" s="3">
        <v>17303</v>
      </c>
      <c r="I103" s="14">
        <v>44747.633333333331</v>
      </c>
      <c r="J103" s="14">
        <v>45159.773611111108</v>
      </c>
      <c r="K103" s="3" t="s">
        <v>2986</v>
      </c>
      <c r="L103" s="3" t="s">
        <v>111</v>
      </c>
      <c r="M103" s="3" t="s">
        <v>111</v>
      </c>
      <c r="N103" s="3" t="s">
        <v>111</v>
      </c>
      <c r="O103" s="3" t="s">
        <v>112</v>
      </c>
      <c r="P103" s="3" t="s">
        <v>2165</v>
      </c>
      <c r="Q103" s="3" t="s">
        <v>2166</v>
      </c>
      <c r="R103" s="3">
        <v>36</v>
      </c>
      <c r="S103" s="3" t="s">
        <v>2167</v>
      </c>
      <c r="T103" s="3">
        <v>0.8</v>
      </c>
      <c r="U103" s="3">
        <v>1</v>
      </c>
      <c r="V103" s="3">
        <v>270</v>
      </c>
      <c r="W103" s="3">
        <v>6</v>
      </c>
      <c r="X103" s="3">
        <v>8847</v>
      </c>
      <c r="Y103" s="3">
        <v>7.5499999999999998E-2</v>
      </c>
      <c r="Z103" s="3">
        <v>4.6199999999999998E-2</v>
      </c>
      <c r="AA103" s="3">
        <v>0.6119</v>
      </c>
      <c r="AB103" s="3" t="s">
        <v>113</v>
      </c>
      <c r="AC103" s="3" t="s">
        <v>4698</v>
      </c>
      <c r="AD103" s="3" t="s">
        <v>113</v>
      </c>
      <c r="AE103" s="3" t="s">
        <v>113</v>
      </c>
      <c r="AF103" s="3" t="s">
        <v>113</v>
      </c>
      <c r="AG103" s="3" t="s">
        <v>113</v>
      </c>
      <c r="AH103" s="3" t="s">
        <v>113</v>
      </c>
      <c r="AI103" s="3" t="s">
        <v>113</v>
      </c>
      <c r="AJ103" s="3">
        <v>559.50969999999995</v>
      </c>
      <c r="AK103" s="3" t="s">
        <v>4699</v>
      </c>
      <c r="AL103" s="3" t="s">
        <v>113</v>
      </c>
      <c r="AM103" s="3" t="s">
        <v>113</v>
      </c>
      <c r="AN103" s="3" t="s">
        <v>113</v>
      </c>
      <c r="AO103" s="3" t="s">
        <v>131</v>
      </c>
      <c r="AP103" s="3" t="s">
        <v>4700</v>
      </c>
      <c r="AQ103" s="3" t="s">
        <v>3513</v>
      </c>
      <c r="AR103" s="3" t="s">
        <v>4701</v>
      </c>
      <c r="AS103" s="3" t="s">
        <v>4702</v>
      </c>
      <c r="AT103" s="3" t="s">
        <v>4703</v>
      </c>
      <c r="AU103" s="3" t="s">
        <v>4704</v>
      </c>
      <c r="AV103" s="7">
        <v>9.7000000000000003E-2</v>
      </c>
      <c r="AY103" s="3" t="s">
        <v>3412</v>
      </c>
      <c r="BA103" s="3" t="s">
        <v>3449</v>
      </c>
      <c r="BB103" s="3" t="s">
        <v>4705</v>
      </c>
      <c r="BC103" s="3" t="s">
        <v>4209</v>
      </c>
      <c r="BD103" s="3" t="s">
        <v>3661</v>
      </c>
      <c r="BE103" s="3" t="s">
        <v>3793</v>
      </c>
      <c r="BF103" s="3" t="s">
        <v>3566</v>
      </c>
      <c r="BG103" s="3" t="s">
        <v>3566</v>
      </c>
      <c r="BH103" s="3" t="s">
        <v>4209</v>
      </c>
      <c r="BI103" s="3" t="s">
        <v>3487</v>
      </c>
      <c r="BJ103" s="3" t="s">
        <v>3612</v>
      </c>
      <c r="BK103" s="3" t="s">
        <v>3497</v>
      </c>
      <c r="BL103" s="3" t="s">
        <v>4706</v>
      </c>
      <c r="BM103" s="3" t="s">
        <v>4007</v>
      </c>
      <c r="BN103" s="3" t="s">
        <v>3429</v>
      </c>
      <c r="BO103" s="3">
        <v>1.0500000000000001E-2</v>
      </c>
      <c r="BP103" s="3">
        <v>1.0500000000000001E-2</v>
      </c>
      <c r="BQ103" s="3">
        <v>1.0500000000000001E-2</v>
      </c>
      <c r="BR103" s="3">
        <v>120</v>
      </c>
      <c r="BS103" s="3">
        <v>144</v>
      </c>
      <c r="BT103" s="3">
        <v>11</v>
      </c>
      <c r="BU103" s="3">
        <v>231</v>
      </c>
      <c r="BV103" s="3">
        <v>1294</v>
      </c>
      <c r="BW103" s="3">
        <v>408</v>
      </c>
      <c r="BX103" s="3">
        <v>1126</v>
      </c>
      <c r="BY103" s="3" t="s">
        <v>153</v>
      </c>
      <c r="BZ103" s="3" t="s">
        <v>153</v>
      </c>
      <c r="CA103" s="3">
        <v>0</v>
      </c>
      <c r="CB103" s="3" t="s">
        <v>2990</v>
      </c>
      <c r="CC103" s="3" t="s">
        <v>111</v>
      </c>
      <c r="CD103" s="3" t="s">
        <v>2990</v>
      </c>
      <c r="CE103" s="3" t="s">
        <v>111</v>
      </c>
      <c r="CF103" s="3">
        <v>5022</v>
      </c>
      <c r="CI103" s="3">
        <f t="shared" si="8"/>
        <v>0.11550000000000001</v>
      </c>
      <c r="CN103" s="3" t="s">
        <v>3412</v>
      </c>
      <c r="CO103" s="3" t="s">
        <v>4708</v>
      </c>
    </row>
    <row r="104" spans="1:93" x14ac:dyDescent="0.2">
      <c r="I104" s="14"/>
      <c r="J104" s="14"/>
    </row>
    <row r="106" spans="1:93" x14ac:dyDescent="0.2">
      <c r="A106" s="3" t="s">
        <v>3395</v>
      </c>
      <c r="C106" s="5" t="s">
        <v>4726</v>
      </c>
      <c r="D106" s="8">
        <v>11</v>
      </c>
      <c r="E106" s="5" t="s">
        <v>4733</v>
      </c>
      <c r="G106" s="3" t="s">
        <v>4708</v>
      </c>
      <c r="H106" s="3">
        <v>17301</v>
      </c>
      <c r="I106" s="14">
        <v>44747.459027777775</v>
      </c>
      <c r="J106" s="14">
        <v>45156.659722222219</v>
      </c>
      <c r="K106" s="3" t="s">
        <v>2164</v>
      </c>
      <c r="L106" s="3" t="s">
        <v>111</v>
      </c>
      <c r="M106" s="3" t="s">
        <v>111</v>
      </c>
      <c r="N106" s="3" t="s">
        <v>111</v>
      </c>
      <c r="O106" s="3" t="s">
        <v>112</v>
      </c>
      <c r="P106" s="3" t="s">
        <v>2165</v>
      </c>
      <c r="Q106" s="3" t="s">
        <v>2166</v>
      </c>
      <c r="R106" s="3">
        <v>36</v>
      </c>
      <c r="S106" s="3" t="s">
        <v>2167</v>
      </c>
      <c r="T106" s="3">
        <v>0.8</v>
      </c>
      <c r="U106" s="3">
        <v>1</v>
      </c>
      <c r="V106" s="3">
        <v>270</v>
      </c>
      <c r="W106" s="3">
        <v>6</v>
      </c>
      <c r="X106" s="3">
        <v>8847</v>
      </c>
      <c r="Y106" s="3">
        <v>0.1105</v>
      </c>
      <c r="Z106" s="3">
        <v>8.6099999999999996E-2</v>
      </c>
      <c r="AA106" s="3">
        <v>0.77890000000000004</v>
      </c>
      <c r="AB106" s="3" t="s">
        <v>113</v>
      </c>
      <c r="AC106" s="3" t="s">
        <v>4434</v>
      </c>
      <c r="AD106" s="3" t="s">
        <v>113</v>
      </c>
      <c r="AE106" s="3" t="s">
        <v>113</v>
      </c>
      <c r="AF106" s="3" t="s">
        <v>113</v>
      </c>
      <c r="AG106" s="3" t="s">
        <v>113</v>
      </c>
      <c r="AH106" s="3" t="s">
        <v>113</v>
      </c>
      <c r="AI106" s="3" t="s">
        <v>113</v>
      </c>
      <c r="AJ106" s="3">
        <v>818.49350000000004</v>
      </c>
      <c r="AK106" s="3" t="s">
        <v>4435</v>
      </c>
      <c r="AL106" s="3" t="s">
        <v>113</v>
      </c>
      <c r="AM106" s="3" t="s">
        <v>113</v>
      </c>
      <c r="AN106" s="3" t="s">
        <v>113</v>
      </c>
      <c r="AO106" s="3" t="s">
        <v>131</v>
      </c>
      <c r="AP106" s="3" t="s">
        <v>3446</v>
      </c>
      <c r="AQ106" s="3" t="s">
        <v>3563</v>
      </c>
      <c r="AR106" s="3" t="s">
        <v>3666</v>
      </c>
      <c r="AS106" s="3" t="s">
        <v>4436</v>
      </c>
      <c r="AT106" s="3" t="s">
        <v>4437</v>
      </c>
      <c r="AU106" s="3" t="s">
        <v>4438</v>
      </c>
      <c r="AV106" s="7">
        <v>0.13500000000000001</v>
      </c>
      <c r="AY106" s="3" t="s">
        <v>3395</v>
      </c>
      <c r="BA106" s="3" t="s">
        <v>3687</v>
      </c>
      <c r="BB106" s="3" t="s">
        <v>4439</v>
      </c>
      <c r="BC106" s="3" t="s">
        <v>4440</v>
      </c>
      <c r="BD106" s="3" t="s">
        <v>4118</v>
      </c>
      <c r="BE106" s="3" t="s">
        <v>4441</v>
      </c>
      <c r="BF106" s="3" t="s">
        <v>3554</v>
      </c>
      <c r="BG106" s="3" t="s">
        <v>3433</v>
      </c>
      <c r="BH106" s="3" t="s">
        <v>3779</v>
      </c>
      <c r="BI106" s="3" t="s">
        <v>3653</v>
      </c>
      <c r="BJ106" s="3" t="s">
        <v>3723</v>
      </c>
      <c r="BK106" s="3" t="s">
        <v>3997</v>
      </c>
      <c r="BL106" s="3" t="s">
        <v>4442</v>
      </c>
      <c r="BM106" s="3" t="s">
        <v>3657</v>
      </c>
      <c r="BN106" s="3" t="s">
        <v>4144</v>
      </c>
      <c r="BO106" s="3">
        <v>1.0500000000000001E-2</v>
      </c>
      <c r="BP106" s="3">
        <v>1.0500000000000001E-2</v>
      </c>
      <c r="BQ106" s="3">
        <v>1.0500000000000001E-2</v>
      </c>
      <c r="BR106" s="3">
        <v>128</v>
      </c>
      <c r="BS106" s="3">
        <v>132</v>
      </c>
      <c r="BT106" s="3">
        <v>20</v>
      </c>
      <c r="BU106" s="3">
        <v>584</v>
      </c>
      <c r="BV106" s="3">
        <v>1628</v>
      </c>
      <c r="BW106" s="3">
        <v>784</v>
      </c>
      <c r="BX106" s="3">
        <v>1126</v>
      </c>
      <c r="BY106" s="3" t="s">
        <v>153</v>
      </c>
      <c r="BZ106" s="3" t="s">
        <v>153</v>
      </c>
      <c r="CA106" s="3">
        <v>0</v>
      </c>
      <c r="CB106" s="3" t="s">
        <v>2171</v>
      </c>
      <c r="CC106" s="3" t="s">
        <v>111</v>
      </c>
      <c r="CD106" s="3" t="s">
        <v>2171</v>
      </c>
      <c r="CE106" s="3" t="s">
        <v>111</v>
      </c>
      <c r="CF106" s="3">
        <v>5022</v>
      </c>
      <c r="CI106" s="3">
        <f t="shared" ref="CI106:CI111" si="9">BQ106*BT106</f>
        <v>0.21000000000000002</v>
      </c>
      <c r="CN106" s="3" t="s">
        <v>3395</v>
      </c>
      <c r="CO106" s="3" t="s">
        <v>4708</v>
      </c>
    </row>
    <row r="107" spans="1:93" x14ac:dyDescent="0.2">
      <c r="A107" s="3" t="s">
        <v>3396</v>
      </c>
      <c r="C107" s="5" t="s">
        <v>4726</v>
      </c>
      <c r="D107" s="8">
        <v>11</v>
      </c>
      <c r="E107" s="5" t="s">
        <v>4733</v>
      </c>
      <c r="G107" s="3" t="s">
        <v>4708</v>
      </c>
      <c r="H107" s="3">
        <v>17301</v>
      </c>
      <c r="I107" s="14">
        <v>44747.459027777775</v>
      </c>
      <c r="J107" s="14">
        <v>45156.661111111112</v>
      </c>
      <c r="K107" s="3" t="s">
        <v>2164</v>
      </c>
      <c r="L107" s="3" t="s">
        <v>111</v>
      </c>
      <c r="M107" s="3" t="s">
        <v>111</v>
      </c>
      <c r="N107" s="3" t="s">
        <v>111</v>
      </c>
      <c r="O107" s="3" t="s">
        <v>112</v>
      </c>
      <c r="P107" s="3" t="s">
        <v>2165</v>
      </c>
      <c r="Q107" s="3" t="s">
        <v>2166</v>
      </c>
      <c r="R107" s="3">
        <v>36</v>
      </c>
      <c r="S107" s="3" t="s">
        <v>2167</v>
      </c>
      <c r="T107" s="3">
        <v>0.8</v>
      </c>
      <c r="U107" s="3">
        <v>1</v>
      </c>
      <c r="V107" s="3">
        <v>270</v>
      </c>
      <c r="W107" s="3">
        <v>6</v>
      </c>
      <c r="X107" s="3">
        <v>8847</v>
      </c>
      <c r="Y107" s="3">
        <v>0.18329999999999999</v>
      </c>
      <c r="Z107" s="3">
        <v>0.14530000000000001</v>
      </c>
      <c r="AA107" s="3">
        <v>0.79290000000000005</v>
      </c>
      <c r="AB107" s="3" t="s">
        <v>113</v>
      </c>
      <c r="AC107" s="3" t="s">
        <v>4425</v>
      </c>
      <c r="AD107" s="3" t="s">
        <v>113</v>
      </c>
      <c r="AE107" s="3" t="s">
        <v>113</v>
      </c>
      <c r="AF107" s="3" t="s">
        <v>113</v>
      </c>
      <c r="AG107" s="3" t="s">
        <v>113</v>
      </c>
      <c r="AH107" s="3" t="s">
        <v>113</v>
      </c>
      <c r="AI107" s="3" t="s">
        <v>113</v>
      </c>
      <c r="AJ107" s="3">
        <v>726.5444</v>
      </c>
      <c r="AK107" s="3" t="s">
        <v>4443</v>
      </c>
      <c r="AL107" s="3" t="s">
        <v>113</v>
      </c>
      <c r="AM107" s="3" t="s">
        <v>113</v>
      </c>
      <c r="AN107" s="3" t="s">
        <v>113</v>
      </c>
      <c r="AO107" s="3" t="s">
        <v>131</v>
      </c>
      <c r="AP107" s="3" t="s">
        <v>4444</v>
      </c>
      <c r="AQ107" s="3" t="s">
        <v>3660</v>
      </c>
      <c r="AR107" s="3" t="s">
        <v>4084</v>
      </c>
      <c r="AS107" s="3" t="s">
        <v>4445</v>
      </c>
      <c r="AT107" s="3" t="s">
        <v>4446</v>
      </c>
      <c r="AU107" s="3" t="s">
        <v>4372</v>
      </c>
      <c r="AV107" s="7">
        <v>0.13300000000000001</v>
      </c>
      <c r="AY107" s="3" t="s">
        <v>3396</v>
      </c>
      <c r="BA107" s="3" t="s">
        <v>3417</v>
      </c>
      <c r="BB107" s="3" t="s">
        <v>4447</v>
      </c>
      <c r="BC107" s="3" t="s">
        <v>4278</v>
      </c>
      <c r="BD107" s="3" t="s">
        <v>3808</v>
      </c>
      <c r="BE107" s="3" t="s">
        <v>3838</v>
      </c>
      <c r="BF107" s="3" t="s">
        <v>3515</v>
      </c>
      <c r="BG107" s="3" t="s">
        <v>3495</v>
      </c>
      <c r="BH107" s="3" t="s">
        <v>4278</v>
      </c>
      <c r="BI107" s="3" t="s">
        <v>4448</v>
      </c>
      <c r="BJ107" s="3" t="s">
        <v>4449</v>
      </c>
      <c r="BK107" s="3" t="s">
        <v>3979</v>
      </c>
      <c r="BL107" s="3" t="s">
        <v>4450</v>
      </c>
      <c r="BM107" s="3" t="s">
        <v>3619</v>
      </c>
      <c r="BN107" s="3" t="s">
        <v>3429</v>
      </c>
      <c r="BO107" s="3">
        <v>1.0500000000000001E-2</v>
      </c>
      <c r="BP107" s="3">
        <v>1.0500000000000001E-2</v>
      </c>
      <c r="BQ107" s="3">
        <v>1.0500000000000001E-2</v>
      </c>
      <c r="BR107" s="3">
        <v>144</v>
      </c>
      <c r="BS107" s="3">
        <v>160</v>
      </c>
      <c r="BT107" s="3">
        <v>30</v>
      </c>
      <c r="BU107" s="3">
        <v>214</v>
      </c>
      <c r="BV107" s="3">
        <v>1390</v>
      </c>
      <c r="BW107" s="3">
        <v>313</v>
      </c>
      <c r="BX107" s="3">
        <v>1126</v>
      </c>
      <c r="BY107" s="3" t="s">
        <v>153</v>
      </c>
      <c r="BZ107" s="3" t="s">
        <v>153</v>
      </c>
      <c r="CA107" s="3">
        <v>0</v>
      </c>
      <c r="CB107" s="3" t="s">
        <v>2171</v>
      </c>
      <c r="CC107" s="3" t="s">
        <v>111</v>
      </c>
      <c r="CD107" s="3" t="s">
        <v>2171</v>
      </c>
      <c r="CE107" s="3" t="s">
        <v>111</v>
      </c>
      <c r="CF107" s="3">
        <v>5022</v>
      </c>
      <c r="CI107" s="3">
        <f t="shared" si="9"/>
        <v>0.315</v>
      </c>
      <c r="CN107" s="3" t="s">
        <v>3396</v>
      </c>
      <c r="CO107" s="3" t="s">
        <v>4708</v>
      </c>
    </row>
    <row r="108" spans="1:93" x14ac:dyDescent="0.2">
      <c r="A108" s="3" t="s">
        <v>3397</v>
      </c>
      <c r="C108" s="5" t="s">
        <v>4726</v>
      </c>
      <c r="D108" s="8">
        <v>11</v>
      </c>
      <c r="E108" s="5" t="s">
        <v>4733</v>
      </c>
      <c r="G108" s="3" t="s">
        <v>4708</v>
      </c>
      <c r="H108" s="3">
        <v>17302</v>
      </c>
      <c r="I108" s="14">
        <v>44747.53125</v>
      </c>
      <c r="J108" s="14">
        <v>45159.531944444447</v>
      </c>
      <c r="K108" s="3" t="s">
        <v>2591</v>
      </c>
      <c r="L108" s="3" t="s">
        <v>111</v>
      </c>
      <c r="M108" s="3" t="s">
        <v>111</v>
      </c>
      <c r="N108" s="3" t="s">
        <v>111</v>
      </c>
      <c r="O108" s="3" t="s">
        <v>112</v>
      </c>
      <c r="P108" s="3" t="s">
        <v>2165</v>
      </c>
      <c r="Q108" s="3" t="s">
        <v>2166</v>
      </c>
      <c r="R108" s="3">
        <v>36</v>
      </c>
      <c r="S108" s="3" t="s">
        <v>2167</v>
      </c>
      <c r="T108" s="3">
        <v>0.8</v>
      </c>
      <c r="U108" s="3">
        <v>1</v>
      </c>
      <c r="V108" s="3">
        <v>270</v>
      </c>
      <c r="W108" s="3">
        <v>6</v>
      </c>
      <c r="X108" s="3">
        <v>8847</v>
      </c>
      <c r="Y108" s="3">
        <v>0.10199999999999999</v>
      </c>
      <c r="Z108" s="3">
        <v>8.3299999999999999E-2</v>
      </c>
      <c r="AA108" s="3">
        <v>0.81730000000000003</v>
      </c>
      <c r="AB108" s="3" t="s">
        <v>113</v>
      </c>
      <c r="AC108" s="3" t="s">
        <v>3658</v>
      </c>
      <c r="AD108" s="3" t="s">
        <v>113</v>
      </c>
      <c r="AE108" s="3" t="s">
        <v>113</v>
      </c>
      <c r="AF108" s="3" t="s">
        <v>113</v>
      </c>
      <c r="AG108" s="3" t="s">
        <v>113</v>
      </c>
      <c r="AH108" s="3" t="s">
        <v>113</v>
      </c>
      <c r="AI108" s="3" t="s">
        <v>113</v>
      </c>
      <c r="AJ108" s="3">
        <v>769.21169999999995</v>
      </c>
      <c r="AK108" s="3" t="s">
        <v>4522</v>
      </c>
      <c r="AL108" s="3" t="s">
        <v>113</v>
      </c>
      <c r="AM108" s="3" t="s">
        <v>113</v>
      </c>
      <c r="AN108" s="3" t="s">
        <v>113</v>
      </c>
      <c r="AO108" s="3" t="s">
        <v>131</v>
      </c>
      <c r="AP108" s="3" t="s">
        <v>3731</v>
      </c>
      <c r="AQ108" s="3" t="s">
        <v>4024</v>
      </c>
      <c r="AR108" s="3" t="s">
        <v>3757</v>
      </c>
      <c r="AS108" s="3" t="s">
        <v>4523</v>
      </c>
      <c r="AT108" s="3" t="s">
        <v>4524</v>
      </c>
      <c r="AU108" s="3" t="s">
        <v>4525</v>
      </c>
      <c r="AV108" s="7">
        <v>0.125</v>
      </c>
      <c r="AY108" s="3" t="s">
        <v>3397</v>
      </c>
      <c r="BA108" s="3" t="s">
        <v>4526</v>
      </c>
      <c r="BB108" s="3" t="s">
        <v>4527</v>
      </c>
      <c r="BC108" s="3" t="s">
        <v>4209</v>
      </c>
      <c r="BD108" s="3" t="s">
        <v>4528</v>
      </c>
      <c r="BE108" s="3" t="s">
        <v>3742</v>
      </c>
      <c r="BF108" s="3" t="s">
        <v>3430</v>
      </c>
      <c r="BG108" s="3" t="s">
        <v>3515</v>
      </c>
      <c r="BH108" s="3" t="s">
        <v>4209</v>
      </c>
      <c r="BI108" s="3" t="s">
        <v>4529</v>
      </c>
      <c r="BJ108" s="3" t="s">
        <v>4010</v>
      </c>
      <c r="BK108" s="3" t="s">
        <v>3429</v>
      </c>
      <c r="BL108" s="3" t="s">
        <v>4530</v>
      </c>
      <c r="BM108" s="3" t="s">
        <v>4215</v>
      </c>
      <c r="BN108" s="3" t="s">
        <v>4531</v>
      </c>
      <c r="BO108" s="3">
        <v>1.0500000000000001E-2</v>
      </c>
      <c r="BP108" s="3">
        <v>1.0500000000000001E-2</v>
      </c>
      <c r="BQ108" s="3">
        <v>1.0500000000000001E-2</v>
      </c>
      <c r="BR108" s="3">
        <v>128</v>
      </c>
      <c r="BS108" s="3">
        <v>148</v>
      </c>
      <c r="BT108" s="3">
        <v>21</v>
      </c>
      <c r="BU108" s="3">
        <v>145</v>
      </c>
      <c r="BV108" s="3">
        <v>690</v>
      </c>
      <c r="BW108" s="3">
        <v>1270</v>
      </c>
      <c r="BX108" s="3">
        <v>1685</v>
      </c>
      <c r="BY108" s="3" t="s">
        <v>153</v>
      </c>
      <c r="BZ108" s="3" t="s">
        <v>153</v>
      </c>
      <c r="CA108" s="3">
        <v>0</v>
      </c>
      <c r="CB108" s="3" t="s">
        <v>2593</v>
      </c>
      <c r="CC108" s="3" t="s">
        <v>111</v>
      </c>
      <c r="CD108" s="3" t="s">
        <v>2593</v>
      </c>
      <c r="CE108" s="3" t="s">
        <v>111</v>
      </c>
      <c r="CF108" s="3">
        <v>5022</v>
      </c>
      <c r="CI108" s="3">
        <f t="shared" si="9"/>
        <v>0.2205</v>
      </c>
      <c r="CN108" s="3" t="s">
        <v>3397</v>
      </c>
      <c r="CO108" s="3" t="s">
        <v>4708</v>
      </c>
    </row>
    <row r="109" spans="1:93" x14ac:dyDescent="0.2">
      <c r="A109" s="3" t="s">
        <v>3398</v>
      </c>
      <c r="C109" s="5" t="s">
        <v>4727</v>
      </c>
      <c r="D109" s="8">
        <v>11</v>
      </c>
      <c r="E109" s="5" t="s">
        <v>4733</v>
      </c>
      <c r="G109" s="3" t="s">
        <v>4708</v>
      </c>
      <c r="H109" s="3">
        <v>17302</v>
      </c>
      <c r="I109" s="14">
        <v>44747.53125</v>
      </c>
      <c r="J109" s="14">
        <v>45159.533333333333</v>
      </c>
      <c r="K109" s="3" t="s">
        <v>2591</v>
      </c>
      <c r="L109" s="3" t="s">
        <v>111</v>
      </c>
      <c r="M109" s="3" t="s">
        <v>111</v>
      </c>
      <c r="N109" s="3" t="s">
        <v>111</v>
      </c>
      <c r="O109" s="3" t="s">
        <v>112</v>
      </c>
      <c r="P109" s="3" t="s">
        <v>2165</v>
      </c>
      <c r="Q109" s="3" t="s">
        <v>2166</v>
      </c>
      <c r="R109" s="3">
        <v>36</v>
      </c>
      <c r="S109" s="3" t="s">
        <v>2167</v>
      </c>
      <c r="T109" s="3">
        <v>0.8</v>
      </c>
      <c r="U109" s="3">
        <v>1</v>
      </c>
      <c r="V109" s="3">
        <v>270</v>
      </c>
      <c r="W109" s="3">
        <v>6</v>
      </c>
      <c r="X109" s="3">
        <v>8847</v>
      </c>
      <c r="Y109" s="3">
        <v>0.1091</v>
      </c>
      <c r="Z109" s="3">
        <v>8.3599999999999994E-2</v>
      </c>
      <c r="AA109" s="3">
        <v>0.76580000000000004</v>
      </c>
      <c r="AB109" s="3" t="s">
        <v>113</v>
      </c>
      <c r="AC109" s="3" t="s">
        <v>4532</v>
      </c>
      <c r="AD109" s="3" t="s">
        <v>113</v>
      </c>
      <c r="AE109" s="3" t="s">
        <v>113</v>
      </c>
      <c r="AF109" s="3" t="s">
        <v>113</v>
      </c>
      <c r="AG109" s="3" t="s">
        <v>113</v>
      </c>
      <c r="AH109" s="3" t="s">
        <v>113</v>
      </c>
      <c r="AI109" s="3" t="s">
        <v>113</v>
      </c>
      <c r="AJ109" s="3">
        <v>761.50689999999997</v>
      </c>
      <c r="AK109" s="3" t="s">
        <v>4533</v>
      </c>
      <c r="AL109" s="3" t="s">
        <v>113</v>
      </c>
      <c r="AM109" s="3" t="s">
        <v>113</v>
      </c>
      <c r="AN109" s="3" t="s">
        <v>113</v>
      </c>
      <c r="AO109" s="3" t="s">
        <v>131</v>
      </c>
      <c r="AP109" s="3" t="s">
        <v>4096</v>
      </c>
      <c r="AQ109" s="3" t="s">
        <v>4024</v>
      </c>
      <c r="AR109" s="3" t="s">
        <v>3817</v>
      </c>
      <c r="AS109" s="3" t="s">
        <v>4534</v>
      </c>
      <c r="AT109" s="3" t="s">
        <v>4535</v>
      </c>
      <c r="AU109" s="3" t="s">
        <v>4536</v>
      </c>
      <c r="AV109" s="7">
        <v>0.123</v>
      </c>
      <c r="AY109" s="3" t="s">
        <v>3398</v>
      </c>
      <c r="BA109" s="3" t="s">
        <v>4378</v>
      </c>
      <c r="BB109" s="3" t="s">
        <v>4537</v>
      </c>
      <c r="BC109" s="3" t="s">
        <v>3619</v>
      </c>
      <c r="BD109" s="3" t="s">
        <v>4127</v>
      </c>
      <c r="BE109" s="3" t="s">
        <v>4538</v>
      </c>
      <c r="BF109" s="3" t="s">
        <v>3433</v>
      </c>
      <c r="BG109" s="3" t="s">
        <v>3429</v>
      </c>
      <c r="BH109" s="3" t="s">
        <v>3619</v>
      </c>
      <c r="BI109" s="3" t="s">
        <v>3450</v>
      </c>
      <c r="BJ109" s="3" t="s">
        <v>3583</v>
      </c>
      <c r="BK109" s="3" t="s">
        <v>3497</v>
      </c>
      <c r="BL109" s="3" t="s">
        <v>4539</v>
      </c>
      <c r="BM109" s="3" t="s">
        <v>4540</v>
      </c>
      <c r="BN109" s="3" t="s">
        <v>3471</v>
      </c>
      <c r="BO109" s="3">
        <v>1.0500000000000001E-2</v>
      </c>
      <c r="BP109" s="3">
        <v>1.0500000000000001E-2</v>
      </c>
      <c r="BQ109" s="3">
        <v>1.0500000000000001E-2</v>
      </c>
      <c r="BR109" s="3">
        <v>144</v>
      </c>
      <c r="BS109" s="3">
        <v>144</v>
      </c>
      <c r="BT109" s="3">
        <v>16</v>
      </c>
      <c r="BU109" s="3">
        <v>548</v>
      </c>
      <c r="BV109" s="3">
        <v>329</v>
      </c>
      <c r="BW109" s="3">
        <v>944</v>
      </c>
      <c r="BX109" s="3">
        <v>1685</v>
      </c>
      <c r="BY109" s="3" t="s">
        <v>153</v>
      </c>
      <c r="BZ109" s="3" t="s">
        <v>153</v>
      </c>
      <c r="CA109" s="3">
        <v>0</v>
      </c>
      <c r="CB109" s="3" t="s">
        <v>2593</v>
      </c>
      <c r="CC109" s="3" t="s">
        <v>111</v>
      </c>
      <c r="CD109" s="3" t="s">
        <v>2593</v>
      </c>
      <c r="CE109" s="3" t="s">
        <v>111</v>
      </c>
      <c r="CF109" s="3">
        <v>5022</v>
      </c>
      <c r="CI109" s="3">
        <f t="shared" si="9"/>
        <v>0.16800000000000001</v>
      </c>
      <c r="CN109" s="3" t="s">
        <v>3398</v>
      </c>
      <c r="CO109" s="3" t="s">
        <v>4708</v>
      </c>
    </row>
    <row r="110" spans="1:93" x14ac:dyDescent="0.2">
      <c r="A110" s="3" t="s">
        <v>3399</v>
      </c>
      <c r="C110" s="5" t="s">
        <v>4727</v>
      </c>
      <c r="D110" s="8">
        <v>11</v>
      </c>
      <c r="E110" s="5" t="s">
        <v>4733</v>
      </c>
      <c r="G110" s="3" t="s">
        <v>4708</v>
      </c>
      <c r="H110" s="3">
        <v>17302</v>
      </c>
      <c r="I110" s="14">
        <v>44747.53125</v>
      </c>
      <c r="J110" s="14">
        <v>45159.53402777778</v>
      </c>
      <c r="K110" s="3" t="s">
        <v>2591</v>
      </c>
      <c r="L110" s="3" t="s">
        <v>111</v>
      </c>
      <c r="M110" s="3" t="s">
        <v>111</v>
      </c>
      <c r="N110" s="3" t="s">
        <v>111</v>
      </c>
      <c r="O110" s="3" t="s">
        <v>112</v>
      </c>
      <c r="P110" s="3" t="s">
        <v>2165</v>
      </c>
      <c r="Q110" s="3" t="s">
        <v>2166</v>
      </c>
      <c r="R110" s="3">
        <v>36</v>
      </c>
      <c r="S110" s="3" t="s">
        <v>2167</v>
      </c>
      <c r="T110" s="3">
        <v>0.8</v>
      </c>
      <c r="U110" s="3">
        <v>1</v>
      </c>
      <c r="V110" s="3">
        <v>270</v>
      </c>
      <c r="W110" s="3">
        <v>6</v>
      </c>
      <c r="X110" s="3">
        <v>8847</v>
      </c>
      <c r="Y110" s="3">
        <v>5.04E-2</v>
      </c>
      <c r="Z110" s="3">
        <v>2.3099999999999999E-2</v>
      </c>
      <c r="AA110" s="3">
        <v>0.45929999999999999</v>
      </c>
      <c r="AB110" s="3" t="s">
        <v>113</v>
      </c>
      <c r="AC110" s="3" t="s">
        <v>4541</v>
      </c>
      <c r="AD110" s="3" t="s">
        <v>113</v>
      </c>
      <c r="AE110" s="3" t="s">
        <v>113</v>
      </c>
      <c r="AF110" s="3" t="s">
        <v>113</v>
      </c>
      <c r="AG110" s="3" t="s">
        <v>113</v>
      </c>
      <c r="AH110" s="3" t="s">
        <v>113</v>
      </c>
      <c r="AI110" s="3" t="s">
        <v>113</v>
      </c>
      <c r="AJ110" s="3">
        <v>484.93279999999999</v>
      </c>
      <c r="AK110" s="3" t="s">
        <v>4542</v>
      </c>
      <c r="AL110" s="3" t="s">
        <v>113</v>
      </c>
      <c r="AM110" s="3" t="s">
        <v>113</v>
      </c>
      <c r="AN110" s="3" t="s">
        <v>113</v>
      </c>
      <c r="AO110" s="3" t="s">
        <v>131</v>
      </c>
      <c r="AP110" s="3" t="s">
        <v>3465</v>
      </c>
      <c r="AQ110" s="3" t="s">
        <v>4543</v>
      </c>
      <c r="AR110" s="3" t="s">
        <v>3645</v>
      </c>
      <c r="AS110" s="3" t="s">
        <v>4544</v>
      </c>
      <c r="AT110" s="3" t="s">
        <v>4545</v>
      </c>
      <c r="AU110" s="3" t="s">
        <v>4546</v>
      </c>
      <c r="AV110" s="7">
        <v>7.2999999999999995E-2</v>
      </c>
      <c r="AY110" s="3" t="s">
        <v>3399</v>
      </c>
      <c r="BA110" s="3" t="s">
        <v>3427</v>
      </c>
      <c r="BB110" s="3" t="s">
        <v>4547</v>
      </c>
      <c r="BC110" s="3" t="s">
        <v>4209</v>
      </c>
      <c r="BD110" s="3" t="s">
        <v>4548</v>
      </c>
      <c r="BE110" s="3" t="s">
        <v>3441</v>
      </c>
      <c r="BF110" s="3" t="s">
        <v>3492</v>
      </c>
      <c r="BG110" s="3" t="s">
        <v>3566</v>
      </c>
      <c r="BH110" s="3" t="s">
        <v>4209</v>
      </c>
      <c r="BI110" s="3" t="s">
        <v>4475</v>
      </c>
      <c r="BJ110" s="3" t="s">
        <v>4549</v>
      </c>
      <c r="BK110" s="3" t="s">
        <v>3566</v>
      </c>
      <c r="BL110" s="3" t="s">
        <v>4550</v>
      </c>
      <c r="BM110" s="3" t="s">
        <v>3592</v>
      </c>
      <c r="BN110" s="3" t="s">
        <v>3745</v>
      </c>
      <c r="BO110" s="3">
        <v>1.0500000000000001E-2</v>
      </c>
      <c r="BP110" s="3">
        <v>1.0500000000000001E-2</v>
      </c>
      <c r="BQ110" s="3">
        <v>1.0500000000000001E-2</v>
      </c>
      <c r="BR110" s="3">
        <v>128</v>
      </c>
      <c r="BS110" s="3">
        <v>112</v>
      </c>
      <c r="BT110" s="3">
        <v>9</v>
      </c>
      <c r="BU110" s="3">
        <v>1273</v>
      </c>
      <c r="BV110" s="3">
        <v>426</v>
      </c>
      <c r="BW110" s="3">
        <v>1070</v>
      </c>
      <c r="BX110" s="3">
        <v>1685</v>
      </c>
      <c r="BY110" s="3" t="s">
        <v>153</v>
      </c>
      <c r="BZ110" s="3" t="s">
        <v>153</v>
      </c>
      <c r="CA110" s="3">
        <v>0</v>
      </c>
      <c r="CB110" s="3" t="s">
        <v>2593</v>
      </c>
      <c r="CC110" s="3" t="s">
        <v>111</v>
      </c>
      <c r="CD110" s="3" t="s">
        <v>2593</v>
      </c>
      <c r="CE110" s="3" t="s">
        <v>111</v>
      </c>
      <c r="CF110" s="3">
        <v>5022</v>
      </c>
      <c r="CI110" s="3">
        <f t="shared" si="9"/>
        <v>9.4500000000000001E-2</v>
      </c>
      <c r="CN110" s="3" t="s">
        <v>3399</v>
      </c>
      <c r="CO110" s="3" t="s">
        <v>4708</v>
      </c>
    </row>
    <row r="111" spans="1:93" x14ac:dyDescent="0.2">
      <c r="A111" s="3" t="s">
        <v>3400</v>
      </c>
      <c r="C111" s="5" t="s">
        <v>4727</v>
      </c>
      <c r="D111" s="8">
        <v>11</v>
      </c>
      <c r="E111" s="5" t="s">
        <v>4733</v>
      </c>
      <c r="G111" s="3" t="s">
        <v>4708</v>
      </c>
      <c r="H111" s="3">
        <v>17302</v>
      </c>
      <c r="I111" s="14">
        <v>44747.53125</v>
      </c>
      <c r="J111" s="14">
        <v>45159.537499999999</v>
      </c>
      <c r="K111" s="3" t="s">
        <v>2591</v>
      </c>
      <c r="L111" s="3" t="s">
        <v>111</v>
      </c>
      <c r="M111" s="3" t="s">
        <v>111</v>
      </c>
      <c r="N111" s="3" t="s">
        <v>111</v>
      </c>
      <c r="O111" s="3" t="s">
        <v>112</v>
      </c>
      <c r="P111" s="3" t="s">
        <v>2165</v>
      </c>
      <c r="Q111" s="3" t="s">
        <v>2166</v>
      </c>
      <c r="R111" s="3">
        <v>36</v>
      </c>
      <c r="S111" s="3" t="s">
        <v>2167</v>
      </c>
      <c r="T111" s="3">
        <v>0.8</v>
      </c>
      <c r="U111" s="3">
        <v>1</v>
      </c>
      <c r="V111" s="3">
        <v>270</v>
      </c>
      <c r="W111" s="3">
        <v>6</v>
      </c>
      <c r="X111" s="3">
        <v>8847</v>
      </c>
      <c r="Y111" s="3">
        <v>0.14460000000000001</v>
      </c>
      <c r="Z111" s="3">
        <v>0.11890000000000001</v>
      </c>
      <c r="AA111" s="3">
        <v>0.82230000000000003</v>
      </c>
      <c r="AB111" s="3" t="s">
        <v>113</v>
      </c>
      <c r="AC111" s="3" t="s">
        <v>4551</v>
      </c>
      <c r="AD111" s="3" t="s">
        <v>113</v>
      </c>
      <c r="AE111" s="3" t="s">
        <v>113</v>
      </c>
      <c r="AF111" s="3" t="s">
        <v>113</v>
      </c>
      <c r="AG111" s="3" t="s">
        <v>113</v>
      </c>
      <c r="AH111" s="3" t="s">
        <v>113</v>
      </c>
      <c r="AI111" s="3" t="s">
        <v>113</v>
      </c>
      <c r="AJ111" s="3">
        <v>814.71379999999999</v>
      </c>
      <c r="AK111" s="3" t="s">
        <v>4552</v>
      </c>
      <c r="AL111" s="3" t="s">
        <v>113</v>
      </c>
      <c r="AM111" s="3" t="s">
        <v>113</v>
      </c>
      <c r="AN111" s="3" t="s">
        <v>113</v>
      </c>
      <c r="AO111" s="3" t="s">
        <v>131</v>
      </c>
      <c r="AP111" s="3" t="s">
        <v>4481</v>
      </c>
      <c r="AQ111" s="3" t="s">
        <v>4553</v>
      </c>
      <c r="AR111" s="3" t="s">
        <v>4554</v>
      </c>
      <c r="AS111" s="3" t="s">
        <v>4555</v>
      </c>
      <c r="AT111" s="3" t="s">
        <v>4556</v>
      </c>
      <c r="AU111" s="3" t="s">
        <v>4557</v>
      </c>
      <c r="AV111" s="7">
        <v>0.14099999999999999</v>
      </c>
      <c r="AY111" s="3" t="s">
        <v>3400</v>
      </c>
      <c r="BA111" s="3" t="s">
        <v>4558</v>
      </c>
      <c r="BB111" s="3" t="s">
        <v>4559</v>
      </c>
      <c r="BC111" s="3" t="s">
        <v>3541</v>
      </c>
      <c r="BD111" s="3" t="s">
        <v>4560</v>
      </c>
      <c r="BE111" s="3" t="s">
        <v>3656</v>
      </c>
      <c r="BF111" s="3" t="s">
        <v>3566</v>
      </c>
      <c r="BG111" s="3" t="s">
        <v>3471</v>
      </c>
      <c r="BH111" s="3" t="s">
        <v>3541</v>
      </c>
      <c r="BI111" s="3" t="s">
        <v>4561</v>
      </c>
      <c r="BJ111" s="3" t="s">
        <v>3589</v>
      </c>
      <c r="BK111" s="3" t="s">
        <v>3497</v>
      </c>
      <c r="BL111" s="3" t="s">
        <v>3997</v>
      </c>
      <c r="BM111" s="3" t="s">
        <v>4128</v>
      </c>
      <c r="BN111" s="3" t="s">
        <v>3477</v>
      </c>
      <c r="BO111" s="3">
        <v>1.0500000000000001E-2</v>
      </c>
      <c r="BP111" s="3">
        <v>1.0500000000000001E-2</v>
      </c>
      <c r="BQ111" s="3">
        <v>1.0500000000000001E-2</v>
      </c>
      <c r="BR111" s="3">
        <v>148</v>
      </c>
      <c r="BS111" s="3">
        <v>152</v>
      </c>
      <c r="BT111" s="3">
        <v>20</v>
      </c>
      <c r="BU111" s="3">
        <v>1303</v>
      </c>
      <c r="BV111" s="3">
        <v>620</v>
      </c>
      <c r="BW111" s="3">
        <v>340</v>
      </c>
      <c r="BX111" s="3">
        <v>1685</v>
      </c>
      <c r="BY111" s="3" t="s">
        <v>153</v>
      </c>
      <c r="BZ111" s="3" t="s">
        <v>153</v>
      </c>
      <c r="CA111" s="3">
        <v>0</v>
      </c>
      <c r="CB111" s="3" t="s">
        <v>2593</v>
      </c>
      <c r="CC111" s="3" t="s">
        <v>111</v>
      </c>
      <c r="CD111" s="3" t="s">
        <v>2593</v>
      </c>
      <c r="CE111" s="3" t="s">
        <v>111</v>
      </c>
      <c r="CF111" s="3">
        <v>5022</v>
      </c>
      <c r="CI111" s="3">
        <f t="shared" si="9"/>
        <v>0.21000000000000002</v>
      </c>
      <c r="CN111" s="3" t="s">
        <v>3400</v>
      </c>
      <c r="CO111" s="3" t="s">
        <v>4708</v>
      </c>
    </row>
    <row r="115" spans="1:93" ht="16" x14ac:dyDescent="0.2">
      <c r="A115" s="3" t="s">
        <v>3362</v>
      </c>
      <c r="C115" s="4" t="s">
        <v>4726</v>
      </c>
      <c r="D115" s="4">
        <v>12</v>
      </c>
      <c r="E115" s="5" t="s">
        <v>4734</v>
      </c>
      <c r="G115" s="3" t="s">
        <v>4708</v>
      </c>
      <c r="H115" s="3">
        <v>18041</v>
      </c>
      <c r="I115" s="14">
        <v>45156.44027777778</v>
      </c>
      <c r="J115" s="14">
        <v>45167.611111111109</v>
      </c>
      <c r="K115" s="3" t="s">
        <v>583</v>
      </c>
      <c r="L115" s="3" t="s">
        <v>111</v>
      </c>
      <c r="M115" s="3" t="s">
        <v>111</v>
      </c>
      <c r="N115" s="3" t="s">
        <v>111</v>
      </c>
      <c r="O115" s="3" t="s">
        <v>112</v>
      </c>
      <c r="P115" s="3" t="s">
        <v>113</v>
      </c>
      <c r="Q115" s="3" t="s">
        <v>113</v>
      </c>
      <c r="R115" s="3">
        <v>0</v>
      </c>
      <c r="S115" s="3" t="s">
        <v>113</v>
      </c>
      <c r="T115" s="3">
        <v>0.8</v>
      </c>
      <c r="U115" s="3">
        <v>1</v>
      </c>
      <c r="V115" s="3">
        <v>270</v>
      </c>
      <c r="W115" s="3">
        <v>6</v>
      </c>
      <c r="X115" s="3">
        <v>8847</v>
      </c>
      <c r="Y115" s="3">
        <v>3.2099999999999997E-2</v>
      </c>
      <c r="Z115" s="3">
        <v>2.64E-2</v>
      </c>
      <c r="AA115" s="3">
        <v>0.82189999999999996</v>
      </c>
      <c r="AB115" s="3" t="s">
        <v>113</v>
      </c>
      <c r="AC115" s="3" t="s">
        <v>3680</v>
      </c>
      <c r="AD115" s="3" t="s">
        <v>113</v>
      </c>
      <c r="AE115" s="3" t="s">
        <v>113</v>
      </c>
      <c r="AF115" s="3" t="s">
        <v>113</v>
      </c>
      <c r="AG115" s="3" t="s">
        <v>113</v>
      </c>
      <c r="AH115" s="3" t="s">
        <v>113</v>
      </c>
      <c r="AI115" s="3" t="s">
        <v>113</v>
      </c>
      <c r="AJ115" s="3">
        <v>693.47190000000001</v>
      </c>
      <c r="AK115" s="3" t="s">
        <v>3681</v>
      </c>
      <c r="AL115" s="3" t="s">
        <v>113</v>
      </c>
      <c r="AM115" s="3" t="s">
        <v>113</v>
      </c>
      <c r="AN115" s="3" t="s">
        <v>113</v>
      </c>
      <c r="AO115" s="3" t="s">
        <v>131</v>
      </c>
      <c r="AP115" s="3" t="s">
        <v>3645</v>
      </c>
      <c r="AQ115" s="3" t="s">
        <v>3682</v>
      </c>
      <c r="AR115" s="3" t="s">
        <v>3683</v>
      </c>
      <c r="AS115" s="3" t="s">
        <v>3684</v>
      </c>
      <c r="AT115" s="3" t="s">
        <v>3685</v>
      </c>
      <c r="AU115" s="3" t="s">
        <v>3686</v>
      </c>
      <c r="AV115" s="7">
        <v>8.4000000000000005E-2</v>
      </c>
      <c r="AY115" s="3" t="s">
        <v>3362</v>
      </c>
      <c r="BA115" s="3" t="s">
        <v>3687</v>
      </c>
      <c r="BB115" s="3" t="s">
        <v>3688</v>
      </c>
      <c r="BC115" s="3" t="s">
        <v>3671</v>
      </c>
      <c r="BD115" s="3" t="s">
        <v>3689</v>
      </c>
      <c r="BE115" s="3" t="s">
        <v>3690</v>
      </c>
      <c r="BF115" s="3" t="s">
        <v>3429</v>
      </c>
      <c r="BG115" s="3" t="s">
        <v>3497</v>
      </c>
      <c r="BH115" s="3" t="s">
        <v>3671</v>
      </c>
      <c r="BI115" s="3" t="s">
        <v>3691</v>
      </c>
      <c r="BJ115" s="3" t="s">
        <v>3692</v>
      </c>
      <c r="BK115" s="3" t="s">
        <v>3433</v>
      </c>
      <c r="BL115" s="3" t="s">
        <v>3693</v>
      </c>
      <c r="BM115" s="3" t="s">
        <v>3694</v>
      </c>
      <c r="BN115" s="3" t="s">
        <v>3474</v>
      </c>
      <c r="BO115" s="3">
        <v>1.0500000000000001E-2</v>
      </c>
      <c r="BP115" s="3">
        <v>1.0500000000000001E-2</v>
      </c>
      <c r="BQ115" s="3">
        <v>1.0500000000000001E-2</v>
      </c>
      <c r="BR115" s="3">
        <v>112</v>
      </c>
      <c r="BS115" s="3">
        <v>136</v>
      </c>
      <c r="BT115" s="3">
        <v>10</v>
      </c>
      <c r="BU115" s="3">
        <v>342</v>
      </c>
      <c r="BV115" s="3">
        <v>1267</v>
      </c>
      <c r="BW115" s="3">
        <v>320</v>
      </c>
      <c r="BX115" s="3">
        <v>800</v>
      </c>
      <c r="BY115" s="3" t="s">
        <v>111</v>
      </c>
      <c r="BZ115" s="3" t="s">
        <v>153</v>
      </c>
      <c r="CA115" s="3">
        <v>0</v>
      </c>
      <c r="CB115" s="3" t="s">
        <v>111</v>
      </c>
      <c r="CC115" s="3" t="s">
        <v>111</v>
      </c>
      <c r="CD115" s="3" t="s">
        <v>615</v>
      </c>
      <c r="CE115" s="3" t="s">
        <v>111</v>
      </c>
      <c r="CF115" s="3">
        <v>5022</v>
      </c>
      <c r="CI115" s="3">
        <f>BQ115*BT115</f>
        <v>0.10500000000000001</v>
      </c>
      <c r="CN115" s="3" t="s">
        <v>3362</v>
      </c>
      <c r="CO115" s="3" t="s">
        <v>4708</v>
      </c>
    </row>
    <row r="116" spans="1:93" ht="16" x14ac:dyDescent="0.2">
      <c r="A116" s="3" t="s">
        <v>3363</v>
      </c>
      <c r="C116" s="5" t="s">
        <v>4726</v>
      </c>
      <c r="D116" s="4">
        <v>12</v>
      </c>
      <c r="E116" s="5" t="s">
        <v>4734</v>
      </c>
      <c r="G116" s="3" t="s">
        <v>4708</v>
      </c>
      <c r="H116" s="3">
        <v>18042</v>
      </c>
      <c r="I116" s="14">
        <v>45156.463888888888</v>
      </c>
      <c r="J116" s="14">
        <v>45167.620138888888</v>
      </c>
      <c r="K116" s="3" t="s">
        <v>649</v>
      </c>
      <c r="L116" s="3" t="s">
        <v>111</v>
      </c>
      <c r="M116" s="3" t="s">
        <v>111</v>
      </c>
      <c r="N116" s="3" t="s">
        <v>111</v>
      </c>
      <c r="O116" s="3" t="s">
        <v>112</v>
      </c>
      <c r="P116" s="3" t="s">
        <v>113</v>
      </c>
      <c r="Q116" s="3" t="s">
        <v>113</v>
      </c>
      <c r="R116" s="3">
        <v>0</v>
      </c>
      <c r="S116" s="3" t="s">
        <v>113</v>
      </c>
      <c r="T116" s="3">
        <v>0.8</v>
      </c>
      <c r="U116" s="3">
        <v>1</v>
      </c>
      <c r="V116" s="3">
        <v>270</v>
      </c>
      <c r="W116" s="3">
        <v>6</v>
      </c>
      <c r="X116" s="3">
        <v>8847</v>
      </c>
      <c r="Y116" s="3">
        <v>7.4700000000000003E-2</v>
      </c>
      <c r="Z116" s="3">
        <v>7.0300000000000001E-2</v>
      </c>
      <c r="AA116" s="3">
        <v>0.94120000000000004</v>
      </c>
      <c r="AB116" s="3" t="s">
        <v>113</v>
      </c>
      <c r="AC116" s="3" t="s">
        <v>3712</v>
      </c>
      <c r="AD116" s="3" t="s">
        <v>113</v>
      </c>
      <c r="AE116" s="3" t="s">
        <v>113</v>
      </c>
      <c r="AF116" s="3" t="s">
        <v>113</v>
      </c>
      <c r="AG116" s="3" t="s">
        <v>113</v>
      </c>
      <c r="AH116" s="3" t="s">
        <v>113</v>
      </c>
      <c r="AI116" s="3" t="s">
        <v>113</v>
      </c>
      <c r="AJ116" s="3">
        <v>892.19820000000004</v>
      </c>
      <c r="AK116" s="3" t="s">
        <v>3713</v>
      </c>
      <c r="AL116" s="3" t="s">
        <v>113</v>
      </c>
      <c r="AM116" s="3" t="s">
        <v>113</v>
      </c>
      <c r="AN116" s="3" t="s">
        <v>113</v>
      </c>
      <c r="AO116" s="3" t="s">
        <v>131</v>
      </c>
      <c r="AP116" s="3" t="s">
        <v>3714</v>
      </c>
      <c r="AQ116" s="3" t="s">
        <v>3715</v>
      </c>
      <c r="AR116" s="3" t="s">
        <v>3716</v>
      </c>
      <c r="AS116" s="3" t="s">
        <v>3717</v>
      </c>
      <c r="AT116" s="3" t="s">
        <v>3718</v>
      </c>
      <c r="AU116" s="3" t="s">
        <v>3719</v>
      </c>
      <c r="AV116" s="7">
        <v>0.153</v>
      </c>
      <c r="AY116" s="3" t="s">
        <v>3363</v>
      </c>
      <c r="BA116" s="3" t="s">
        <v>3720</v>
      </c>
      <c r="BB116" s="3" t="s">
        <v>3721</v>
      </c>
      <c r="BC116" s="3" t="s">
        <v>3722</v>
      </c>
      <c r="BD116" s="3" t="s">
        <v>3723</v>
      </c>
      <c r="BE116" s="3" t="s">
        <v>3724</v>
      </c>
      <c r="BF116" s="3" t="s">
        <v>3474</v>
      </c>
      <c r="BG116" s="3" t="s">
        <v>3725</v>
      </c>
      <c r="BH116" s="3" t="s">
        <v>3722</v>
      </c>
      <c r="BI116" s="3" t="s">
        <v>3726</v>
      </c>
      <c r="BJ116" s="3" t="s">
        <v>3727</v>
      </c>
      <c r="BK116" s="3" t="s">
        <v>3634</v>
      </c>
      <c r="BL116" s="3" t="s">
        <v>3517</v>
      </c>
      <c r="BM116" s="3" t="s">
        <v>3728</v>
      </c>
      <c r="BN116" s="3" t="s">
        <v>3729</v>
      </c>
      <c r="BO116" s="3">
        <v>1.0500000000000001E-2</v>
      </c>
      <c r="BP116" s="3">
        <v>1.0500000000000001E-2</v>
      </c>
      <c r="BQ116" s="3">
        <v>1.0500000000000001E-2</v>
      </c>
      <c r="BR116" s="3">
        <v>124</v>
      </c>
      <c r="BS116" s="3">
        <v>132</v>
      </c>
      <c r="BT116" s="3">
        <v>18</v>
      </c>
      <c r="BU116" s="3">
        <v>337</v>
      </c>
      <c r="BV116" s="3">
        <v>633</v>
      </c>
      <c r="BW116" s="3">
        <v>710</v>
      </c>
      <c r="BX116" s="3">
        <v>1126</v>
      </c>
      <c r="BY116" s="3" t="s">
        <v>111</v>
      </c>
      <c r="BZ116" s="3" t="s">
        <v>153</v>
      </c>
      <c r="CA116" s="3">
        <v>0</v>
      </c>
      <c r="CB116" s="3" t="s">
        <v>111</v>
      </c>
      <c r="CC116" s="3" t="s">
        <v>111</v>
      </c>
      <c r="CD116" s="3" t="s">
        <v>681</v>
      </c>
      <c r="CE116" s="3" t="s">
        <v>111</v>
      </c>
      <c r="CF116" s="3">
        <v>5022</v>
      </c>
      <c r="CI116" s="3">
        <f>BQ116*BT116</f>
        <v>0.189</v>
      </c>
      <c r="CN116" s="3" t="s">
        <v>3363</v>
      </c>
      <c r="CO116" s="3" t="s">
        <v>4708</v>
      </c>
    </row>
    <row r="117" spans="1:93" ht="16" x14ac:dyDescent="0.2">
      <c r="A117" s="3" t="s">
        <v>3364</v>
      </c>
      <c r="C117" s="4" t="s">
        <v>4726</v>
      </c>
      <c r="D117" s="4">
        <v>12</v>
      </c>
      <c r="E117" s="5" t="s">
        <v>4734</v>
      </c>
      <c r="G117" s="3" t="s">
        <v>4708</v>
      </c>
      <c r="H117" s="3">
        <v>18043</v>
      </c>
      <c r="I117" s="14">
        <v>45156.509027777778</v>
      </c>
      <c r="J117" s="14">
        <v>45167.635416666664</v>
      </c>
      <c r="K117" s="3" t="s">
        <v>714</v>
      </c>
      <c r="L117" s="3" t="s">
        <v>111</v>
      </c>
      <c r="M117" s="3" t="s">
        <v>111</v>
      </c>
      <c r="N117" s="3" t="s">
        <v>111</v>
      </c>
      <c r="O117" s="3" t="s">
        <v>112</v>
      </c>
      <c r="P117" s="3" t="s">
        <v>113</v>
      </c>
      <c r="Q117" s="3" t="s">
        <v>113</v>
      </c>
      <c r="R117" s="3">
        <v>0</v>
      </c>
      <c r="S117" s="3" t="s">
        <v>113</v>
      </c>
      <c r="T117" s="3">
        <v>0.8</v>
      </c>
      <c r="U117" s="3">
        <v>1</v>
      </c>
      <c r="V117" s="3">
        <v>270</v>
      </c>
      <c r="W117" s="3">
        <v>6</v>
      </c>
      <c r="X117" s="3">
        <v>8847</v>
      </c>
      <c r="Y117" s="3">
        <v>5.8099999999999999E-2</v>
      </c>
      <c r="Z117" s="3">
        <v>5.4300000000000001E-2</v>
      </c>
      <c r="AA117" s="3">
        <v>0.93440000000000001</v>
      </c>
      <c r="AB117" s="3" t="s">
        <v>113</v>
      </c>
      <c r="AC117" s="3" t="s">
        <v>3746</v>
      </c>
      <c r="AD117" s="3" t="s">
        <v>113</v>
      </c>
      <c r="AE117" s="3" t="s">
        <v>113</v>
      </c>
      <c r="AF117" s="3" t="s">
        <v>113</v>
      </c>
      <c r="AG117" s="3" t="s">
        <v>113</v>
      </c>
      <c r="AH117" s="3" t="s">
        <v>113</v>
      </c>
      <c r="AI117" s="3" t="s">
        <v>113</v>
      </c>
      <c r="AJ117" s="3">
        <v>868.28409999999997</v>
      </c>
      <c r="AK117" s="3" t="s">
        <v>3747</v>
      </c>
      <c r="AL117" s="3" t="s">
        <v>113</v>
      </c>
      <c r="AM117" s="3" t="s">
        <v>113</v>
      </c>
      <c r="AN117" s="3" t="s">
        <v>113</v>
      </c>
      <c r="AO117" s="3" t="s">
        <v>131</v>
      </c>
      <c r="AP117" s="3" t="s">
        <v>3748</v>
      </c>
      <c r="AQ117" s="3" t="s">
        <v>3749</v>
      </c>
      <c r="AR117" s="3" t="s">
        <v>3750</v>
      </c>
      <c r="AS117" s="3" t="s">
        <v>3751</v>
      </c>
      <c r="AT117" s="3" t="s">
        <v>3752</v>
      </c>
      <c r="AU117" s="3" t="s">
        <v>3753</v>
      </c>
      <c r="AV117" s="7">
        <v>0.13800000000000001</v>
      </c>
      <c r="AY117" s="3" t="s">
        <v>3364</v>
      </c>
      <c r="BA117" s="3" t="s">
        <v>3754</v>
      </c>
      <c r="BB117" s="3" t="s">
        <v>3755</v>
      </c>
      <c r="BC117" s="3" t="s">
        <v>3619</v>
      </c>
      <c r="BD117" s="3" t="s">
        <v>3756</v>
      </c>
      <c r="BE117" s="3" t="s">
        <v>3757</v>
      </c>
      <c r="BF117" s="3" t="s">
        <v>3535</v>
      </c>
      <c r="BG117" s="3" t="s">
        <v>3451</v>
      </c>
      <c r="BH117" s="3" t="s">
        <v>3738</v>
      </c>
      <c r="BI117" s="3" t="s">
        <v>3758</v>
      </c>
      <c r="BJ117" s="3" t="s">
        <v>3759</v>
      </c>
      <c r="BK117" s="3" t="s">
        <v>3451</v>
      </c>
      <c r="BL117" s="3" t="s">
        <v>3760</v>
      </c>
      <c r="BM117" s="3" t="s">
        <v>3761</v>
      </c>
      <c r="BN117" s="3" t="s">
        <v>3762</v>
      </c>
      <c r="BO117" s="3">
        <v>1.0500000000000001E-2</v>
      </c>
      <c r="BP117" s="3">
        <v>1.0500000000000001E-2</v>
      </c>
      <c r="BQ117" s="3">
        <v>1.0500000000000001E-2</v>
      </c>
      <c r="BR117" s="3">
        <v>132</v>
      </c>
      <c r="BS117" s="3">
        <v>124</v>
      </c>
      <c r="BT117" s="3">
        <v>19</v>
      </c>
      <c r="BU117" s="3">
        <v>554</v>
      </c>
      <c r="BV117" s="3">
        <v>437</v>
      </c>
      <c r="BW117" s="3">
        <v>330</v>
      </c>
      <c r="BX117" s="3">
        <v>810</v>
      </c>
      <c r="BY117" s="3" t="s">
        <v>111</v>
      </c>
      <c r="BZ117" s="3" t="s">
        <v>153</v>
      </c>
      <c r="CA117" s="3">
        <v>0</v>
      </c>
      <c r="CB117" s="3" t="s">
        <v>111</v>
      </c>
      <c r="CC117" s="3" t="s">
        <v>111</v>
      </c>
      <c r="CD117" s="3" t="s">
        <v>746</v>
      </c>
      <c r="CE117" s="3" t="s">
        <v>111</v>
      </c>
      <c r="CF117" s="3">
        <v>5022</v>
      </c>
      <c r="CI117" s="3">
        <f>BQ117*BT117</f>
        <v>0.19950000000000001</v>
      </c>
      <c r="CN117" s="3" t="s">
        <v>3364</v>
      </c>
      <c r="CO117" s="3" t="s">
        <v>4708</v>
      </c>
    </row>
    <row r="118" spans="1:93" ht="16" x14ac:dyDescent="0.2">
      <c r="A118" s="3" t="s">
        <v>3365</v>
      </c>
      <c r="C118" s="5" t="s">
        <v>4726</v>
      </c>
      <c r="D118" s="4">
        <v>12</v>
      </c>
      <c r="E118" s="5" t="s">
        <v>4734</v>
      </c>
      <c r="G118" s="3" t="s">
        <v>4708</v>
      </c>
      <c r="H118" s="3">
        <v>18044</v>
      </c>
      <c r="I118" s="14">
        <v>45156.518055555556</v>
      </c>
      <c r="J118" s="14">
        <v>45167.674305555556</v>
      </c>
      <c r="K118" s="3" t="s">
        <v>773</v>
      </c>
      <c r="L118" s="3" t="s">
        <v>111</v>
      </c>
      <c r="M118" s="3" t="s">
        <v>111</v>
      </c>
      <c r="N118" s="3" t="s">
        <v>111</v>
      </c>
      <c r="O118" s="3" t="s">
        <v>112</v>
      </c>
      <c r="P118" s="3" t="s">
        <v>113</v>
      </c>
      <c r="Q118" s="3" t="s">
        <v>113</v>
      </c>
      <c r="R118" s="3">
        <v>0</v>
      </c>
      <c r="S118" s="3" t="s">
        <v>113</v>
      </c>
      <c r="T118" s="3">
        <v>0.8</v>
      </c>
      <c r="U118" s="3">
        <v>1</v>
      </c>
      <c r="V118" s="3">
        <v>270</v>
      </c>
      <c r="W118" s="3">
        <v>6</v>
      </c>
      <c r="X118" s="3">
        <v>8847</v>
      </c>
      <c r="Y118" s="3">
        <v>0.12959999999999999</v>
      </c>
      <c r="Z118" s="3">
        <v>0.11269999999999999</v>
      </c>
      <c r="AA118" s="3">
        <v>0.86899999999999999</v>
      </c>
      <c r="AB118" s="3" t="s">
        <v>113</v>
      </c>
      <c r="AC118" s="3" t="s">
        <v>3777</v>
      </c>
      <c r="AD118" s="3" t="s">
        <v>113</v>
      </c>
      <c r="AE118" s="3" t="s">
        <v>113</v>
      </c>
      <c r="AF118" s="3" t="s">
        <v>113</v>
      </c>
      <c r="AG118" s="3" t="s">
        <v>113</v>
      </c>
      <c r="AH118" s="3" t="s">
        <v>113</v>
      </c>
      <c r="AI118" s="3" t="s">
        <v>113</v>
      </c>
      <c r="AJ118" s="3">
        <v>857.52639999999997</v>
      </c>
      <c r="AK118" s="3" t="s">
        <v>3778</v>
      </c>
      <c r="AL118" s="3" t="s">
        <v>113</v>
      </c>
      <c r="AM118" s="3" t="s">
        <v>113</v>
      </c>
      <c r="AN118" s="3" t="s">
        <v>113</v>
      </c>
      <c r="AO118" s="3" t="s">
        <v>131</v>
      </c>
      <c r="AP118" s="3" t="s">
        <v>3698</v>
      </c>
      <c r="AQ118" s="3" t="s">
        <v>3779</v>
      </c>
      <c r="AR118" s="3" t="s">
        <v>3780</v>
      </c>
      <c r="AS118" s="3" t="s">
        <v>3781</v>
      </c>
      <c r="AT118" s="3" t="s">
        <v>3782</v>
      </c>
      <c r="AU118" s="3" t="s">
        <v>3783</v>
      </c>
      <c r="AV118" s="7">
        <v>0.127</v>
      </c>
      <c r="AY118" s="3" t="s">
        <v>3365</v>
      </c>
      <c r="BA118" s="3" t="s">
        <v>3784</v>
      </c>
      <c r="BB118" s="3" t="s">
        <v>3785</v>
      </c>
      <c r="BC118" s="3" t="s">
        <v>3563</v>
      </c>
      <c r="BD118" s="3" t="s">
        <v>3613</v>
      </c>
      <c r="BE118" s="3" t="s">
        <v>3786</v>
      </c>
      <c r="BF118" s="3" t="s">
        <v>3471</v>
      </c>
      <c r="BG118" s="3" t="s">
        <v>3566</v>
      </c>
      <c r="BH118" s="3" t="s">
        <v>3468</v>
      </c>
      <c r="BI118" s="3" t="s">
        <v>3683</v>
      </c>
      <c r="BJ118" s="3" t="s">
        <v>3787</v>
      </c>
      <c r="BK118" s="3" t="s">
        <v>3515</v>
      </c>
      <c r="BL118" s="3" t="s">
        <v>3788</v>
      </c>
      <c r="BM118" s="3" t="s">
        <v>3789</v>
      </c>
      <c r="BN118" s="3" t="s">
        <v>3531</v>
      </c>
      <c r="BO118" s="3">
        <v>1.0500000000000001E-2</v>
      </c>
      <c r="BP118" s="3">
        <v>1.0500000000000001E-2</v>
      </c>
      <c r="BQ118" s="3">
        <v>1.0500000000000001E-2</v>
      </c>
      <c r="BR118" s="3">
        <v>156</v>
      </c>
      <c r="BS118" s="3">
        <v>144</v>
      </c>
      <c r="BT118" s="3">
        <v>15</v>
      </c>
      <c r="BU118" s="3">
        <v>1066</v>
      </c>
      <c r="BV118" s="3">
        <v>334</v>
      </c>
      <c r="BW118" s="3">
        <v>473</v>
      </c>
      <c r="BX118" s="3">
        <v>930</v>
      </c>
      <c r="BY118" s="3" t="s">
        <v>111</v>
      </c>
      <c r="BZ118" s="3" t="s">
        <v>153</v>
      </c>
      <c r="CA118" s="3">
        <v>0</v>
      </c>
      <c r="CB118" s="3" t="s">
        <v>111</v>
      </c>
      <c r="CC118" s="3" t="s">
        <v>111</v>
      </c>
      <c r="CD118" s="3" t="s">
        <v>803</v>
      </c>
      <c r="CE118" s="3" t="s">
        <v>111</v>
      </c>
      <c r="CF118" s="3">
        <v>5022</v>
      </c>
      <c r="CI118" s="3">
        <f>BQ118*BT118</f>
        <v>0.1575</v>
      </c>
      <c r="CN118" s="3" t="s">
        <v>3365</v>
      </c>
      <c r="CO118" s="3" t="s">
        <v>4708</v>
      </c>
    </row>
    <row r="119" spans="1:93" ht="16" x14ac:dyDescent="0.2">
      <c r="A119" s="3" t="s">
        <v>3366</v>
      </c>
      <c r="C119" s="4" t="s">
        <v>4726</v>
      </c>
      <c r="D119" s="4">
        <v>12</v>
      </c>
      <c r="E119" s="5" t="s">
        <v>4734</v>
      </c>
      <c r="G119" s="3" t="s">
        <v>4708</v>
      </c>
      <c r="H119" s="3">
        <v>18046</v>
      </c>
      <c r="I119" s="14">
        <v>45156.527083333334</v>
      </c>
      <c r="J119" s="14">
        <v>45167.69027777778</v>
      </c>
      <c r="K119" s="3" t="s">
        <v>835</v>
      </c>
      <c r="L119" s="3" t="s">
        <v>111</v>
      </c>
      <c r="M119" s="3" t="s">
        <v>111</v>
      </c>
      <c r="N119" s="3" t="s">
        <v>111</v>
      </c>
      <c r="O119" s="3" t="s">
        <v>112</v>
      </c>
      <c r="P119" s="3" t="s">
        <v>113</v>
      </c>
      <c r="Q119" s="3" t="s">
        <v>113</v>
      </c>
      <c r="R119" s="3">
        <v>0</v>
      </c>
      <c r="S119" s="3" t="s">
        <v>113</v>
      </c>
      <c r="T119" s="3">
        <v>0.8</v>
      </c>
      <c r="U119" s="3">
        <v>1</v>
      </c>
      <c r="V119" s="3">
        <v>270</v>
      </c>
      <c r="W119" s="3">
        <v>6</v>
      </c>
      <c r="X119" s="3">
        <v>8847</v>
      </c>
      <c r="Y119" s="3">
        <v>3.8199999999999998E-2</v>
      </c>
      <c r="Z119" s="3">
        <v>3.3500000000000002E-2</v>
      </c>
      <c r="AA119" s="3">
        <v>0.87609999999999999</v>
      </c>
      <c r="AB119" s="3" t="s">
        <v>113</v>
      </c>
      <c r="AC119" s="3" t="s">
        <v>3802</v>
      </c>
      <c r="AD119" s="3" t="s">
        <v>113</v>
      </c>
      <c r="AE119" s="3" t="s">
        <v>113</v>
      </c>
      <c r="AF119" s="3" t="s">
        <v>113</v>
      </c>
      <c r="AG119" s="3" t="s">
        <v>113</v>
      </c>
      <c r="AH119" s="3" t="s">
        <v>113</v>
      </c>
      <c r="AI119" s="3" t="s">
        <v>113</v>
      </c>
      <c r="AJ119" s="3">
        <v>790.50900000000001</v>
      </c>
      <c r="AK119" s="3" t="s">
        <v>3803</v>
      </c>
      <c r="AL119" s="3" t="s">
        <v>113</v>
      </c>
      <c r="AM119" s="3" t="s">
        <v>113</v>
      </c>
      <c r="AN119" s="3" t="s">
        <v>113</v>
      </c>
      <c r="AO119" s="3" t="s">
        <v>131</v>
      </c>
      <c r="AP119" s="3" t="s">
        <v>3622</v>
      </c>
      <c r="AQ119" s="3" t="s">
        <v>3804</v>
      </c>
      <c r="AR119" s="3" t="s">
        <v>3742</v>
      </c>
      <c r="AS119" s="3" t="s">
        <v>3805</v>
      </c>
      <c r="AT119" s="3" t="s">
        <v>3806</v>
      </c>
      <c r="AU119" s="3" t="s">
        <v>3763</v>
      </c>
      <c r="AV119" s="7">
        <v>0.108</v>
      </c>
      <c r="AY119" s="3" t="s">
        <v>3366</v>
      </c>
      <c r="BA119" s="3" t="s">
        <v>3439</v>
      </c>
      <c r="BB119" s="3" t="s">
        <v>3807</v>
      </c>
      <c r="BC119" s="3" t="s">
        <v>3627</v>
      </c>
      <c r="BD119" s="3" t="s">
        <v>3808</v>
      </c>
      <c r="BE119" s="3" t="s">
        <v>3683</v>
      </c>
      <c r="BF119" s="3" t="s">
        <v>3430</v>
      </c>
      <c r="BG119" s="3" t="s">
        <v>3531</v>
      </c>
      <c r="BH119" s="3" t="s">
        <v>3809</v>
      </c>
      <c r="BI119" s="3" t="s">
        <v>3512</v>
      </c>
      <c r="BJ119" s="3" t="s">
        <v>3810</v>
      </c>
      <c r="BK119" s="3" t="s">
        <v>3497</v>
      </c>
      <c r="BL119" s="3" t="s">
        <v>3811</v>
      </c>
      <c r="BM119" s="3" t="s">
        <v>3812</v>
      </c>
      <c r="BN119" s="3" t="s">
        <v>3813</v>
      </c>
      <c r="BO119" s="3">
        <v>1.0500000000000001E-2</v>
      </c>
      <c r="BP119" s="3">
        <v>1.0500000000000001E-2</v>
      </c>
      <c r="BQ119" s="3">
        <v>1.0500000000000001E-2</v>
      </c>
      <c r="BR119" s="3">
        <v>116</v>
      </c>
      <c r="BS119" s="3">
        <v>64</v>
      </c>
      <c r="BT119" s="3">
        <v>16</v>
      </c>
      <c r="BU119" s="3">
        <v>1399</v>
      </c>
      <c r="BV119" s="3">
        <v>673</v>
      </c>
      <c r="BW119" s="3">
        <v>306</v>
      </c>
      <c r="BX119" s="3">
        <v>740</v>
      </c>
      <c r="BY119" s="3" t="s">
        <v>111</v>
      </c>
      <c r="BZ119" s="3" t="s">
        <v>153</v>
      </c>
      <c r="CA119" s="3">
        <v>0</v>
      </c>
      <c r="CB119" s="3" t="s">
        <v>111</v>
      </c>
      <c r="CC119" s="3" t="s">
        <v>111</v>
      </c>
      <c r="CD119" s="3" t="s">
        <v>866</v>
      </c>
      <c r="CE119" s="3" t="s">
        <v>111</v>
      </c>
      <c r="CF119" s="3">
        <v>5022</v>
      </c>
      <c r="CI119" s="3">
        <f>BQ119*BT119</f>
        <v>0.16800000000000001</v>
      </c>
      <c r="CN119" s="3" t="s">
        <v>3366</v>
      </c>
      <c r="CO119" s="3" t="s">
        <v>4708</v>
      </c>
    </row>
    <row r="120" spans="1:93" x14ac:dyDescent="0.2">
      <c r="I120" s="14"/>
      <c r="J120" s="14"/>
    </row>
    <row r="121" spans="1:93" x14ac:dyDescent="0.2">
      <c r="I121" s="14"/>
      <c r="J121" s="14"/>
    </row>
    <row r="122" spans="1:93" ht="16" x14ac:dyDescent="0.2">
      <c r="C122" s="4" t="s">
        <v>4728</v>
      </c>
      <c r="D122" s="4" t="s">
        <v>4729</v>
      </c>
      <c r="I122" s="14"/>
      <c r="J122" s="14"/>
      <c r="AW122" s="10" t="s">
        <v>4718</v>
      </c>
    </row>
    <row r="123" spans="1:93" x14ac:dyDescent="0.2">
      <c r="A123" s="3" t="s">
        <v>3373</v>
      </c>
      <c r="C123" s="5" t="s">
        <v>4727</v>
      </c>
      <c r="D123" s="5">
        <v>5</v>
      </c>
      <c r="G123" s="3" t="s">
        <v>4707</v>
      </c>
      <c r="H123" s="3">
        <v>18053</v>
      </c>
      <c r="I123" s="14">
        <v>45156.62777777778</v>
      </c>
      <c r="J123" s="14">
        <v>45169.67291666667</v>
      </c>
      <c r="K123" s="3" t="s">
        <v>1255</v>
      </c>
      <c r="L123" s="3" t="s">
        <v>111</v>
      </c>
      <c r="M123" s="3" t="s">
        <v>111</v>
      </c>
      <c r="N123" s="3" t="s">
        <v>111</v>
      </c>
      <c r="O123" s="3" t="s">
        <v>112</v>
      </c>
      <c r="P123" s="3" t="s">
        <v>113</v>
      </c>
      <c r="Q123" s="3" t="s">
        <v>113</v>
      </c>
      <c r="R123" s="3">
        <v>0</v>
      </c>
      <c r="S123" s="3" t="s">
        <v>113</v>
      </c>
      <c r="T123" s="3">
        <v>0.8</v>
      </c>
      <c r="U123" s="3">
        <v>1</v>
      </c>
      <c r="V123" s="3">
        <v>270</v>
      </c>
      <c r="W123" s="3">
        <v>6</v>
      </c>
      <c r="X123" s="3">
        <v>8847</v>
      </c>
      <c r="Y123" s="3">
        <v>0.1033</v>
      </c>
      <c r="Z123" s="3">
        <v>9.5500000000000002E-2</v>
      </c>
      <c r="AA123" s="3">
        <v>0.92500000000000004</v>
      </c>
      <c r="AB123" s="3" t="s">
        <v>113</v>
      </c>
      <c r="AC123" s="3" t="s">
        <v>3970</v>
      </c>
      <c r="AD123" s="3" t="s">
        <v>113</v>
      </c>
      <c r="AE123" s="3" t="s">
        <v>113</v>
      </c>
      <c r="AF123" s="3" t="s">
        <v>113</v>
      </c>
      <c r="AG123" s="3" t="s">
        <v>113</v>
      </c>
      <c r="AH123" s="3" t="s">
        <v>113</v>
      </c>
      <c r="AI123" s="3" t="s">
        <v>113</v>
      </c>
      <c r="AJ123" s="3">
        <v>814.71379999999999</v>
      </c>
      <c r="AK123" s="3" t="s">
        <v>3971</v>
      </c>
      <c r="AL123" s="3" t="s">
        <v>113</v>
      </c>
      <c r="AM123" s="3" t="s">
        <v>113</v>
      </c>
      <c r="AN123" s="3" t="s">
        <v>113</v>
      </c>
      <c r="AO123" s="3" t="s">
        <v>131</v>
      </c>
      <c r="AP123" s="3" t="s">
        <v>3469</v>
      </c>
      <c r="AQ123" s="3" t="s">
        <v>3972</v>
      </c>
      <c r="AR123" s="3" t="s">
        <v>3512</v>
      </c>
      <c r="AS123" s="3" t="s">
        <v>3973</v>
      </c>
      <c r="AT123" s="3" t="s">
        <v>3974</v>
      </c>
      <c r="AU123" s="3" t="s">
        <v>3975</v>
      </c>
      <c r="AV123" s="7">
        <v>0.126</v>
      </c>
      <c r="AW123" s="10">
        <f t="shared" ref="AW123:AW138" si="10">ABS((AV123+AV142)/2)</f>
        <v>0.1085</v>
      </c>
      <c r="AX123" s="3"/>
      <c r="AY123" s="3" t="s">
        <v>3373</v>
      </c>
      <c r="BA123" s="3" t="s">
        <v>3976</v>
      </c>
      <c r="BB123" s="3" t="s">
        <v>3977</v>
      </c>
      <c r="BC123" s="3" t="s">
        <v>3809</v>
      </c>
      <c r="BD123" s="3" t="s">
        <v>3851</v>
      </c>
      <c r="BE123" s="3" t="s">
        <v>3830</v>
      </c>
      <c r="BF123" s="3" t="s">
        <v>3429</v>
      </c>
      <c r="BG123" s="3" t="s">
        <v>3433</v>
      </c>
      <c r="BH123" s="3" t="s">
        <v>3809</v>
      </c>
      <c r="BI123" s="3" t="s">
        <v>3978</v>
      </c>
      <c r="BJ123" s="3" t="s">
        <v>3693</v>
      </c>
      <c r="BK123" s="3" t="s">
        <v>3584</v>
      </c>
      <c r="BL123" s="3" t="s">
        <v>3979</v>
      </c>
      <c r="BM123" s="3" t="s">
        <v>3980</v>
      </c>
      <c r="BN123" s="3" t="s">
        <v>3515</v>
      </c>
      <c r="BO123" s="3">
        <v>1.0500000000000001E-2</v>
      </c>
      <c r="BP123" s="3">
        <v>1.0500000000000001E-2</v>
      </c>
      <c r="BQ123" s="3">
        <v>1.0500000000000001E-2</v>
      </c>
      <c r="BR123" s="3">
        <v>160</v>
      </c>
      <c r="BS123" s="3">
        <v>120</v>
      </c>
      <c r="BT123" s="3">
        <v>16</v>
      </c>
      <c r="BU123" s="3">
        <v>299</v>
      </c>
      <c r="BV123" s="3">
        <v>752</v>
      </c>
      <c r="BW123" s="3">
        <v>400</v>
      </c>
      <c r="BX123" s="3">
        <v>1060</v>
      </c>
      <c r="BY123" s="3" t="s">
        <v>111</v>
      </c>
      <c r="BZ123" s="3" t="s">
        <v>153</v>
      </c>
      <c r="CA123" s="3">
        <v>0</v>
      </c>
      <c r="CB123" s="3" t="s">
        <v>111</v>
      </c>
      <c r="CC123" s="3" t="s">
        <v>111</v>
      </c>
      <c r="CD123" s="3" t="s">
        <v>1282</v>
      </c>
      <c r="CE123" s="3" t="s">
        <v>111</v>
      </c>
      <c r="CF123" s="3">
        <v>5022</v>
      </c>
      <c r="CI123" s="3">
        <f t="shared" ref="CI123:CI138" si="11">BQ123*BT123</f>
        <v>0.16800000000000001</v>
      </c>
      <c r="CN123" s="3" t="s">
        <v>3373</v>
      </c>
      <c r="CO123" s="3" t="s">
        <v>4707</v>
      </c>
    </row>
    <row r="124" spans="1:93" x14ac:dyDescent="0.2">
      <c r="A124" s="3" t="s">
        <v>3374</v>
      </c>
      <c r="C124" s="5" t="s">
        <v>4727</v>
      </c>
      <c r="D124" s="5">
        <v>5</v>
      </c>
      <c r="G124" s="3" t="s">
        <v>4707</v>
      </c>
      <c r="H124" s="3">
        <v>18054</v>
      </c>
      <c r="I124" s="14">
        <v>45156.64166666667</v>
      </c>
      <c r="J124" s="14">
        <v>45169.683333333334</v>
      </c>
      <c r="K124" s="3" t="s">
        <v>1311</v>
      </c>
      <c r="L124" s="3" t="s">
        <v>111</v>
      </c>
      <c r="M124" s="3" t="s">
        <v>111</v>
      </c>
      <c r="N124" s="3" t="s">
        <v>111</v>
      </c>
      <c r="O124" s="3" t="s">
        <v>112</v>
      </c>
      <c r="P124" s="3" t="s">
        <v>113</v>
      </c>
      <c r="Q124" s="3" t="s">
        <v>113</v>
      </c>
      <c r="R124" s="3">
        <v>0</v>
      </c>
      <c r="S124" s="3" t="s">
        <v>113</v>
      </c>
      <c r="T124" s="3">
        <v>0.8</v>
      </c>
      <c r="U124" s="3">
        <v>1</v>
      </c>
      <c r="V124" s="3">
        <v>270</v>
      </c>
      <c r="W124" s="3">
        <v>6</v>
      </c>
      <c r="X124" s="3">
        <v>8847</v>
      </c>
      <c r="Y124" s="3">
        <v>9.3399999999999997E-2</v>
      </c>
      <c r="Z124" s="3">
        <v>8.8599999999999998E-2</v>
      </c>
      <c r="AA124" s="3">
        <v>0.9486</v>
      </c>
      <c r="AB124" s="3" t="s">
        <v>113</v>
      </c>
      <c r="AC124" s="3" t="s">
        <v>3998</v>
      </c>
      <c r="AD124" s="3" t="s">
        <v>113</v>
      </c>
      <c r="AE124" s="3" t="s">
        <v>113</v>
      </c>
      <c r="AF124" s="3" t="s">
        <v>113</v>
      </c>
      <c r="AG124" s="3" t="s">
        <v>113</v>
      </c>
      <c r="AH124" s="3" t="s">
        <v>113</v>
      </c>
      <c r="AI124" s="3" t="s">
        <v>113</v>
      </c>
      <c r="AJ124" s="3">
        <v>843.86130000000003</v>
      </c>
      <c r="AK124" s="3" t="s">
        <v>3999</v>
      </c>
      <c r="AL124" s="3" t="s">
        <v>113</v>
      </c>
      <c r="AM124" s="3" t="s">
        <v>113</v>
      </c>
      <c r="AN124" s="3" t="s">
        <v>113</v>
      </c>
      <c r="AO124" s="3" t="s">
        <v>131</v>
      </c>
      <c r="AP124" s="3" t="s">
        <v>4000</v>
      </c>
      <c r="AQ124" s="3" t="s">
        <v>3657</v>
      </c>
      <c r="AR124" s="3" t="s">
        <v>4001</v>
      </c>
      <c r="AS124" s="3" t="s">
        <v>4002</v>
      </c>
      <c r="AT124" s="3" t="s">
        <v>4003</v>
      </c>
      <c r="AU124" s="3" t="s">
        <v>4004</v>
      </c>
      <c r="AV124" s="7">
        <v>0.122</v>
      </c>
      <c r="AW124" s="10">
        <f t="shared" si="10"/>
        <v>0.11649999999999999</v>
      </c>
      <c r="AY124" s="3" t="s">
        <v>3374</v>
      </c>
      <c r="BA124" s="3" t="s">
        <v>4005</v>
      </c>
      <c r="BB124" s="3" t="s">
        <v>4006</v>
      </c>
      <c r="BC124" s="3" t="s">
        <v>3850</v>
      </c>
      <c r="BD124" s="3" t="s">
        <v>3726</v>
      </c>
      <c r="BE124" s="3" t="s">
        <v>4007</v>
      </c>
      <c r="BF124" s="3" t="s">
        <v>3566</v>
      </c>
      <c r="BG124" s="3" t="s">
        <v>3429</v>
      </c>
      <c r="BH124" s="3" t="s">
        <v>3850</v>
      </c>
      <c r="BI124" s="3" t="s">
        <v>4008</v>
      </c>
      <c r="BJ124" s="3" t="s">
        <v>4009</v>
      </c>
      <c r="BK124" s="3" t="s">
        <v>3497</v>
      </c>
      <c r="BL124" s="3" t="s">
        <v>4010</v>
      </c>
      <c r="BM124" s="3" t="s">
        <v>3526</v>
      </c>
      <c r="BN124" s="3" t="s">
        <v>3430</v>
      </c>
      <c r="BO124" s="3">
        <v>1.0500000000000001E-2</v>
      </c>
      <c r="BP124" s="3">
        <v>1.0500000000000001E-2</v>
      </c>
      <c r="BQ124" s="3">
        <v>1.0500000000000001E-2</v>
      </c>
      <c r="BR124" s="3">
        <v>124</v>
      </c>
      <c r="BS124" s="3">
        <v>160</v>
      </c>
      <c r="BT124" s="3">
        <v>17</v>
      </c>
      <c r="BU124" s="3">
        <v>271</v>
      </c>
      <c r="BV124" s="3">
        <v>735</v>
      </c>
      <c r="BW124" s="3">
        <v>623</v>
      </c>
      <c r="BX124" s="3">
        <v>1126</v>
      </c>
      <c r="BY124" s="3" t="s">
        <v>111</v>
      </c>
      <c r="BZ124" s="3" t="s">
        <v>153</v>
      </c>
      <c r="CA124" s="3">
        <v>0</v>
      </c>
      <c r="CB124" s="3" t="s">
        <v>111</v>
      </c>
      <c r="CC124" s="3" t="s">
        <v>111</v>
      </c>
      <c r="CD124" s="3" t="s">
        <v>1342</v>
      </c>
      <c r="CE124" s="3" t="s">
        <v>111</v>
      </c>
      <c r="CF124" s="3">
        <v>5022</v>
      </c>
      <c r="CI124" s="3">
        <f t="shared" si="11"/>
        <v>0.17850000000000002</v>
      </c>
      <c r="CN124" s="3" t="s">
        <v>3374</v>
      </c>
      <c r="CO124" s="3" t="s">
        <v>4707</v>
      </c>
    </row>
    <row r="125" spans="1:93" x14ac:dyDescent="0.2">
      <c r="A125" s="3" t="s">
        <v>3375</v>
      </c>
      <c r="C125" s="5" t="s">
        <v>4727</v>
      </c>
      <c r="D125" s="5">
        <v>5</v>
      </c>
      <c r="G125" s="3" t="s">
        <v>4707</v>
      </c>
      <c r="H125" s="3">
        <v>18055</v>
      </c>
      <c r="I125" s="14">
        <v>45156.656944444447</v>
      </c>
      <c r="J125" s="14">
        <v>45169.693055555559</v>
      </c>
      <c r="K125" s="3" t="s">
        <v>1369</v>
      </c>
      <c r="L125" s="3" t="s">
        <v>111</v>
      </c>
      <c r="M125" s="3" t="s">
        <v>111</v>
      </c>
      <c r="N125" s="3" t="s">
        <v>111</v>
      </c>
      <c r="O125" s="3" t="s">
        <v>112</v>
      </c>
      <c r="P125" s="3" t="s">
        <v>113</v>
      </c>
      <c r="Q125" s="3" t="s">
        <v>113</v>
      </c>
      <c r="R125" s="3">
        <v>0</v>
      </c>
      <c r="S125" s="3" t="s">
        <v>113</v>
      </c>
      <c r="T125" s="3">
        <v>0.8</v>
      </c>
      <c r="U125" s="3">
        <v>1</v>
      </c>
      <c r="V125" s="3">
        <v>270</v>
      </c>
      <c r="W125" s="3">
        <v>6</v>
      </c>
      <c r="X125" s="3">
        <v>8847</v>
      </c>
      <c r="Y125" s="3">
        <v>9.35E-2</v>
      </c>
      <c r="Z125" s="3">
        <v>8.4199999999999997E-2</v>
      </c>
      <c r="AA125" s="3">
        <v>0.90100000000000002</v>
      </c>
      <c r="AB125" s="3" t="s">
        <v>113</v>
      </c>
      <c r="AC125" s="3" t="s">
        <v>4022</v>
      </c>
      <c r="AD125" s="3" t="s">
        <v>113</v>
      </c>
      <c r="AE125" s="3" t="s">
        <v>113</v>
      </c>
      <c r="AF125" s="3" t="s">
        <v>113</v>
      </c>
      <c r="AG125" s="3" t="s">
        <v>113</v>
      </c>
      <c r="AH125" s="3" t="s">
        <v>113</v>
      </c>
      <c r="AI125" s="3" t="s">
        <v>113</v>
      </c>
      <c r="AJ125" s="3">
        <v>793.63459999999998</v>
      </c>
      <c r="AK125" s="3" t="s">
        <v>4023</v>
      </c>
      <c r="AL125" s="3" t="s">
        <v>113</v>
      </c>
      <c r="AM125" s="3" t="s">
        <v>113</v>
      </c>
      <c r="AN125" s="3" t="s">
        <v>113</v>
      </c>
      <c r="AO125" s="3" t="s">
        <v>131</v>
      </c>
      <c r="AP125" s="3" t="s">
        <v>3698</v>
      </c>
      <c r="AQ125" s="3" t="s">
        <v>4024</v>
      </c>
      <c r="AR125" s="3" t="s">
        <v>4025</v>
      </c>
      <c r="AS125" s="3" t="s">
        <v>4026</v>
      </c>
      <c r="AT125" s="3" t="s">
        <v>4027</v>
      </c>
      <c r="AU125" s="3" t="s">
        <v>4028</v>
      </c>
      <c r="AV125" s="7">
        <v>0.12</v>
      </c>
      <c r="AW125" s="10">
        <f t="shared" si="10"/>
        <v>0.10250000000000001</v>
      </c>
      <c r="AY125" s="3" t="s">
        <v>3375</v>
      </c>
      <c r="BA125" s="3" t="s">
        <v>4029</v>
      </c>
      <c r="BB125" s="3" t="s">
        <v>4030</v>
      </c>
      <c r="BC125" s="3" t="s">
        <v>3460</v>
      </c>
      <c r="BD125" s="3" t="s">
        <v>4031</v>
      </c>
      <c r="BE125" s="3" t="s">
        <v>3857</v>
      </c>
      <c r="BF125" s="3" t="s">
        <v>3429</v>
      </c>
      <c r="BG125" s="3" t="s">
        <v>3566</v>
      </c>
      <c r="BH125" s="3" t="s">
        <v>3460</v>
      </c>
      <c r="BI125" s="3" t="s">
        <v>3997</v>
      </c>
      <c r="BJ125" s="3" t="s">
        <v>4031</v>
      </c>
      <c r="BK125" s="3" t="s">
        <v>3584</v>
      </c>
      <c r="BL125" s="3" t="s">
        <v>3516</v>
      </c>
      <c r="BM125" s="3" t="s">
        <v>3903</v>
      </c>
      <c r="BN125" s="3" t="s">
        <v>3429</v>
      </c>
      <c r="BO125" s="3">
        <v>1.0500000000000001E-2</v>
      </c>
      <c r="BP125" s="3">
        <v>1.0500000000000001E-2</v>
      </c>
      <c r="BQ125" s="3">
        <v>1.0500000000000001E-2</v>
      </c>
      <c r="BR125" s="3">
        <v>128</v>
      </c>
      <c r="BS125" s="3">
        <v>164</v>
      </c>
      <c r="BT125" s="3">
        <v>16</v>
      </c>
      <c r="BU125" s="3">
        <v>395</v>
      </c>
      <c r="BV125" s="3">
        <v>544</v>
      </c>
      <c r="BW125" s="3">
        <v>516</v>
      </c>
      <c r="BX125" s="3">
        <v>1070</v>
      </c>
      <c r="BY125" s="3" t="s">
        <v>111</v>
      </c>
      <c r="BZ125" s="3" t="s">
        <v>153</v>
      </c>
      <c r="CA125" s="3">
        <v>0</v>
      </c>
      <c r="CB125" s="3" t="s">
        <v>111</v>
      </c>
      <c r="CC125" s="3" t="s">
        <v>111</v>
      </c>
      <c r="CD125" s="3" t="s">
        <v>1397</v>
      </c>
      <c r="CE125" s="3" t="s">
        <v>111</v>
      </c>
      <c r="CF125" s="3">
        <v>5022</v>
      </c>
      <c r="CI125" s="3">
        <f t="shared" si="11"/>
        <v>0.16800000000000001</v>
      </c>
      <c r="CN125" s="3" t="s">
        <v>3375</v>
      </c>
      <c r="CO125" s="3" t="s">
        <v>4707</v>
      </c>
    </row>
    <row r="126" spans="1:93" x14ac:dyDescent="0.2">
      <c r="A126" s="3" t="s">
        <v>3376</v>
      </c>
      <c r="C126" s="5" t="s">
        <v>4727</v>
      </c>
      <c r="D126" s="5">
        <v>5</v>
      </c>
      <c r="G126" s="3" t="s">
        <v>4707</v>
      </c>
      <c r="H126" s="3">
        <v>18056</v>
      </c>
      <c r="I126" s="14">
        <v>45156.664583333331</v>
      </c>
      <c r="J126" s="14">
        <v>45169.702777777777</v>
      </c>
      <c r="K126" s="3" t="s">
        <v>1427</v>
      </c>
      <c r="L126" s="3" t="s">
        <v>111</v>
      </c>
      <c r="M126" s="3" t="s">
        <v>111</v>
      </c>
      <c r="N126" s="3" t="s">
        <v>111</v>
      </c>
      <c r="O126" s="3" t="s">
        <v>112</v>
      </c>
      <c r="P126" s="3" t="s">
        <v>113</v>
      </c>
      <c r="Q126" s="3" t="s">
        <v>113</v>
      </c>
      <c r="R126" s="3">
        <v>0</v>
      </c>
      <c r="S126" s="3" t="s">
        <v>113</v>
      </c>
      <c r="T126" s="3">
        <v>0.8</v>
      </c>
      <c r="U126" s="3">
        <v>1</v>
      </c>
      <c r="V126" s="3">
        <v>270</v>
      </c>
      <c r="W126" s="3">
        <v>6</v>
      </c>
      <c r="X126" s="3">
        <v>8847</v>
      </c>
      <c r="Y126" s="3">
        <v>8.4400000000000003E-2</v>
      </c>
      <c r="Z126" s="3">
        <v>7.8200000000000006E-2</v>
      </c>
      <c r="AA126" s="3">
        <v>0.92659999999999998</v>
      </c>
      <c r="AB126" s="3" t="s">
        <v>113</v>
      </c>
      <c r="AC126" s="3" t="s">
        <v>4042</v>
      </c>
      <c r="AD126" s="3" t="s">
        <v>113</v>
      </c>
      <c r="AE126" s="3" t="s">
        <v>113</v>
      </c>
      <c r="AF126" s="3" t="s">
        <v>113</v>
      </c>
      <c r="AG126" s="3" t="s">
        <v>113</v>
      </c>
      <c r="AH126" s="3" t="s">
        <v>113</v>
      </c>
      <c r="AI126" s="3" t="s">
        <v>113</v>
      </c>
      <c r="AJ126" s="3">
        <v>816.53089999999997</v>
      </c>
      <c r="AK126" s="3" t="s">
        <v>4043</v>
      </c>
      <c r="AL126" s="3" t="s">
        <v>113</v>
      </c>
      <c r="AM126" s="3" t="s">
        <v>113</v>
      </c>
      <c r="AN126" s="3" t="s">
        <v>113</v>
      </c>
      <c r="AO126" s="3" t="s">
        <v>131</v>
      </c>
      <c r="AP126" s="3" t="s">
        <v>3461</v>
      </c>
      <c r="AQ126" s="3" t="s">
        <v>3850</v>
      </c>
      <c r="AR126" s="3" t="s">
        <v>3866</v>
      </c>
      <c r="AS126" s="3" t="s">
        <v>4044</v>
      </c>
      <c r="AT126" s="3" t="s">
        <v>4045</v>
      </c>
      <c r="AU126" s="3" t="s">
        <v>3611</v>
      </c>
      <c r="AV126" s="7">
        <v>0.126</v>
      </c>
      <c r="AW126" s="10">
        <f t="shared" si="10"/>
        <v>0.11849999999999999</v>
      </c>
      <c r="AY126" s="3" t="s">
        <v>3376</v>
      </c>
      <c r="BA126" s="3" t="s">
        <v>4046</v>
      </c>
      <c r="BB126" s="3" t="s">
        <v>4047</v>
      </c>
      <c r="BC126" s="3" t="s">
        <v>3627</v>
      </c>
      <c r="BD126" s="3" t="s">
        <v>4048</v>
      </c>
      <c r="BE126" s="3" t="s">
        <v>4049</v>
      </c>
      <c r="BF126" s="3" t="s">
        <v>3430</v>
      </c>
      <c r="BG126" s="3" t="s">
        <v>3497</v>
      </c>
      <c r="BH126" s="3" t="s">
        <v>3627</v>
      </c>
      <c r="BI126" s="3" t="s">
        <v>4050</v>
      </c>
      <c r="BJ126" s="3" t="s">
        <v>4051</v>
      </c>
      <c r="BK126" s="3" t="s">
        <v>3451</v>
      </c>
      <c r="BL126" s="3" t="s">
        <v>4052</v>
      </c>
      <c r="BM126" s="3" t="s">
        <v>3840</v>
      </c>
      <c r="BN126" s="3" t="s">
        <v>3707</v>
      </c>
      <c r="BO126" s="3">
        <v>1.0500000000000001E-2</v>
      </c>
      <c r="BP126" s="3">
        <v>1.0500000000000001E-2</v>
      </c>
      <c r="BQ126" s="3">
        <v>1.0500000000000001E-2</v>
      </c>
      <c r="BR126" s="3">
        <v>116</v>
      </c>
      <c r="BS126" s="3">
        <v>140</v>
      </c>
      <c r="BT126" s="3">
        <v>18</v>
      </c>
      <c r="BU126" s="3">
        <v>490</v>
      </c>
      <c r="BV126" s="3">
        <v>447</v>
      </c>
      <c r="BW126" s="3">
        <v>568</v>
      </c>
      <c r="BX126" s="3">
        <v>1126</v>
      </c>
      <c r="BY126" s="3" t="s">
        <v>111</v>
      </c>
      <c r="BZ126" s="3" t="s">
        <v>153</v>
      </c>
      <c r="CA126" s="3">
        <v>0</v>
      </c>
      <c r="CB126" s="3" t="s">
        <v>111</v>
      </c>
      <c r="CC126" s="3" t="s">
        <v>111</v>
      </c>
      <c r="CD126" s="3" t="s">
        <v>1457</v>
      </c>
      <c r="CE126" s="3" t="s">
        <v>111</v>
      </c>
      <c r="CF126" s="3">
        <v>5022</v>
      </c>
      <c r="CI126" s="3">
        <f t="shared" si="11"/>
        <v>0.189</v>
      </c>
      <c r="CN126" s="3" t="s">
        <v>3376</v>
      </c>
      <c r="CO126" s="3" t="s">
        <v>4707</v>
      </c>
    </row>
    <row r="127" spans="1:93" x14ac:dyDescent="0.2">
      <c r="A127" s="3" t="s">
        <v>3377</v>
      </c>
      <c r="C127" s="5" t="s">
        <v>4727</v>
      </c>
      <c r="D127" s="5">
        <v>5</v>
      </c>
      <c r="G127" s="3" t="s">
        <v>4707</v>
      </c>
      <c r="H127" s="3">
        <v>18057</v>
      </c>
      <c r="I127" s="14">
        <v>45156.686805555553</v>
      </c>
      <c r="J127" s="14">
        <v>45169.720138888886</v>
      </c>
      <c r="K127" s="3" t="s">
        <v>1486</v>
      </c>
      <c r="L127" s="3" t="s">
        <v>111</v>
      </c>
      <c r="M127" s="3" t="s">
        <v>111</v>
      </c>
      <c r="N127" s="3" t="s">
        <v>111</v>
      </c>
      <c r="O127" s="3" t="s">
        <v>112</v>
      </c>
      <c r="P127" s="3" t="s">
        <v>113</v>
      </c>
      <c r="Q127" s="3" t="s">
        <v>113</v>
      </c>
      <c r="R127" s="3">
        <v>0</v>
      </c>
      <c r="S127" s="3" t="s">
        <v>113</v>
      </c>
      <c r="T127" s="3">
        <v>0.8</v>
      </c>
      <c r="U127" s="3">
        <v>1</v>
      </c>
      <c r="V127" s="3">
        <v>270</v>
      </c>
      <c r="W127" s="3">
        <v>6</v>
      </c>
      <c r="X127" s="3">
        <v>8847</v>
      </c>
      <c r="Y127" s="3">
        <v>0.1047</v>
      </c>
      <c r="Z127" s="3">
        <v>9.7900000000000001E-2</v>
      </c>
      <c r="AA127" s="3">
        <v>0.9345</v>
      </c>
      <c r="AB127" s="3" t="s">
        <v>113</v>
      </c>
      <c r="AC127" s="3" t="s">
        <v>4063</v>
      </c>
      <c r="AD127" s="3" t="s">
        <v>113</v>
      </c>
      <c r="AE127" s="3" t="s">
        <v>113</v>
      </c>
      <c r="AF127" s="3" t="s">
        <v>113</v>
      </c>
      <c r="AG127" s="3" t="s">
        <v>113</v>
      </c>
      <c r="AH127" s="3" t="s">
        <v>113</v>
      </c>
      <c r="AI127" s="3" t="s">
        <v>113</v>
      </c>
      <c r="AJ127" s="3">
        <v>864.57709999999997</v>
      </c>
      <c r="AK127" s="3" t="s">
        <v>4064</v>
      </c>
      <c r="AL127" s="3" t="s">
        <v>113</v>
      </c>
      <c r="AM127" s="3" t="s">
        <v>113</v>
      </c>
      <c r="AN127" s="3" t="s">
        <v>113</v>
      </c>
      <c r="AO127" s="3" t="s">
        <v>131</v>
      </c>
      <c r="AP127" s="3" t="s">
        <v>3869</v>
      </c>
      <c r="AQ127" s="3" t="s">
        <v>3989</v>
      </c>
      <c r="AR127" s="3" t="s">
        <v>3835</v>
      </c>
      <c r="AS127" s="3" t="s">
        <v>4065</v>
      </c>
      <c r="AT127" s="3" t="s">
        <v>4066</v>
      </c>
      <c r="AU127" s="3" t="s">
        <v>4067</v>
      </c>
      <c r="AV127" s="7">
        <v>0.13600000000000001</v>
      </c>
      <c r="AW127" s="10">
        <f t="shared" si="10"/>
        <v>0.13400000000000001</v>
      </c>
      <c r="AY127" s="3" t="s">
        <v>3377</v>
      </c>
      <c r="BA127" s="3" t="s">
        <v>3786</v>
      </c>
      <c r="BB127" s="3" t="s">
        <v>4069</v>
      </c>
      <c r="BC127" s="3" t="s">
        <v>4070</v>
      </c>
      <c r="BD127" s="3" t="s">
        <v>4071</v>
      </c>
      <c r="BE127" s="3" t="s">
        <v>4072</v>
      </c>
      <c r="BF127" s="3" t="s">
        <v>3566</v>
      </c>
      <c r="BG127" s="3" t="s">
        <v>3566</v>
      </c>
      <c r="BH127" s="3" t="s">
        <v>4070</v>
      </c>
      <c r="BI127" s="3" t="s">
        <v>4073</v>
      </c>
      <c r="BJ127" s="3" t="s">
        <v>4074</v>
      </c>
      <c r="BK127" s="3" t="s">
        <v>3429</v>
      </c>
      <c r="BL127" s="3" t="s">
        <v>4075</v>
      </c>
      <c r="BM127" s="3" t="s">
        <v>3621</v>
      </c>
      <c r="BN127" s="3" t="s">
        <v>3430</v>
      </c>
      <c r="BO127" s="3">
        <v>1.0500000000000001E-2</v>
      </c>
      <c r="BP127" s="3">
        <v>1.0500000000000001E-2</v>
      </c>
      <c r="BQ127" s="3">
        <v>1.0500000000000001E-2</v>
      </c>
      <c r="BR127" s="3">
        <v>132</v>
      </c>
      <c r="BS127" s="3">
        <v>160</v>
      </c>
      <c r="BT127" s="3">
        <v>13</v>
      </c>
      <c r="BU127" s="3">
        <v>1063</v>
      </c>
      <c r="BV127" s="3">
        <v>432</v>
      </c>
      <c r="BW127" s="3">
        <v>728</v>
      </c>
      <c r="BX127" s="3">
        <v>1126</v>
      </c>
      <c r="BY127" s="3" t="s">
        <v>111</v>
      </c>
      <c r="BZ127" s="3" t="s">
        <v>153</v>
      </c>
      <c r="CA127" s="3">
        <v>0</v>
      </c>
      <c r="CB127" s="3" t="s">
        <v>111</v>
      </c>
      <c r="CC127" s="3" t="s">
        <v>111</v>
      </c>
      <c r="CD127" s="3" t="s">
        <v>1515</v>
      </c>
      <c r="CE127" s="3" t="s">
        <v>111</v>
      </c>
      <c r="CF127" s="3">
        <v>5022</v>
      </c>
      <c r="CI127" s="3">
        <f t="shared" si="11"/>
        <v>0.13650000000000001</v>
      </c>
      <c r="CN127" s="3" t="s">
        <v>3377</v>
      </c>
      <c r="CO127" s="3" t="s">
        <v>4707</v>
      </c>
    </row>
    <row r="128" spans="1:93" x14ac:dyDescent="0.2">
      <c r="A128" s="3" t="s">
        <v>3378</v>
      </c>
      <c r="C128" s="5" t="s">
        <v>4727</v>
      </c>
      <c r="D128" s="5">
        <v>5</v>
      </c>
      <c r="G128" s="3" t="s">
        <v>4707</v>
      </c>
      <c r="H128" s="3">
        <v>18058</v>
      </c>
      <c r="I128" s="14">
        <v>45156.697222222225</v>
      </c>
      <c r="J128" s="14">
        <v>45169.732638888891</v>
      </c>
      <c r="K128" s="3" t="s">
        <v>1541</v>
      </c>
      <c r="L128" s="3" t="s">
        <v>111</v>
      </c>
      <c r="M128" s="3" t="s">
        <v>111</v>
      </c>
      <c r="N128" s="3" t="s">
        <v>111</v>
      </c>
      <c r="O128" s="3" t="s">
        <v>112</v>
      </c>
      <c r="P128" s="3" t="s">
        <v>113</v>
      </c>
      <c r="Q128" s="3" t="s">
        <v>113</v>
      </c>
      <c r="R128" s="3">
        <v>0</v>
      </c>
      <c r="S128" s="3" t="s">
        <v>113</v>
      </c>
      <c r="T128" s="3">
        <v>0.8</v>
      </c>
      <c r="U128" s="3">
        <v>1</v>
      </c>
      <c r="V128" s="3">
        <v>270</v>
      </c>
      <c r="W128" s="3">
        <v>6</v>
      </c>
      <c r="X128" s="3">
        <v>8847</v>
      </c>
      <c r="Y128" s="3">
        <v>7.9699999999999993E-2</v>
      </c>
      <c r="Z128" s="3">
        <v>7.4099999999999999E-2</v>
      </c>
      <c r="AA128" s="3">
        <v>0.92949999999999999</v>
      </c>
      <c r="AB128" s="3" t="s">
        <v>113</v>
      </c>
      <c r="AC128" s="3" t="s">
        <v>4088</v>
      </c>
      <c r="AD128" s="3" t="s">
        <v>113</v>
      </c>
      <c r="AE128" s="3" t="s">
        <v>113</v>
      </c>
      <c r="AF128" s="3" t="s">
        <v>113</v>
      </c>
      <c r="AG128" s="3" t="s">
        <v>113</v>
      </c>
      <c r="AH128" s="3" t="s">
        <v>113</v>
      </c>
      <c r="AI128" s="3" t="s">
        <v>113</v>
      </c>
      <c r="AJ128" s="3">
        <v>864.79510000000005</v>
      </c>
      <c r="AK128" s="3" t="s">
        <v>4089</v>
      </c>
      <c r="AL128" s="3" t="s">
        <v>113</v>
      </c>
      <c r="AM128" s="3" t="s">
        <v>113</v>
      </c>
      <c r="AN128" s="3" t="s">
        <v>113</v>
      </c>
      <c r="AO128" s="3" t="s">
        <v>131</v>
      </c>
      <c r="AP128" s="3" t="s">
        <v>4090</v>
      </c>
      <c r="AQ128" s="3" t="s">
        <v>3831</v>
      </c>
      <c r="AR128" s="3" t="s">
        <v>3593</v>
      </c>
      <c r="AS128" s="3" t="s">
        <v>4091</v>
      </c>
      <c r="AT128" s="3" t="s">
        <v>4092</v>
      </c>
      <c r="AU128" s="3" t="s">
        <v>4093</v>
      </c>
      <c r="AV128" s="7">
        <v>0.127</v>
      </c>
      <c r="AW128" s="10">
        <f t="shared" si="10"/>
        <v>0.1105</v>
      </c>
      <c r="AY128" s="3" t="s">
        <v>3378</v>
      </c>
      <c r="BA128" s="3" t="s">
        <v>4094</v>
      </c>
      <c r="BB128" s="3" t="s">
        <v>4095</v>
      </c>
      <c r="BC128" s="3" t="s">
        <v>4070</v>
      </c>
      <c r="BD128" s="3" t="s">
        <v>4096</v>
      </c>
      <c r="BE128" s="3" t="s">
        <v>4073</v>
      </c>
      <c r="BF128" s="3" t="s">
        <v>3430</v>
      </c>
      <c r="BG128" s="3" t="s">
        <v>3433</v>
      </c>
      <c r="BH128" s="3" t="s">
        <v>4070</v>
      </c>
      <c r="BI128" s="3" t="s">
        <v>3838</v>
      </c>
      <c r="BJ128" s="3" t="s">
        <v>4097</v>
      </c>
      <c r="BK128" s="3" t="s">
        <v>3584</v>
      </c>
      <c r="BL128" s="3" t="s">
        <v>4098</v>
      </c>
      <c r="BM128" s="3" t="s">
        <v>4099</v>
      </c>
      <c r="BN128" s="3" t="s">
        <v>3535</v>
      </c>
      <c r="BO128" s="3">
        <v>1.0500000000000001E-2</v>
      </c>
      <c r="BP128" s="3">
        <v>1.0500000000000001E-2</v>
      </c>
      <c r="BQ128" s="3">
        <v>1.0500000000000001E-2</v>
      </c>
      <c r="BR128" s="3">
        <v>148</v>
      </c>
      <c r="BS128" s="3">
        <v>120</v>
      </c>
      <c r="BT128" s="3">
        <v>19</v>
      </c>
      <c r="BU128" s="3">
        <v>989</v>
      </c>
      <c r="BV128" s="3">
        <v>451</v>
      </c>
      <c r="BW128" s="3">
        <v>461</v>
      </c>
      <c r="BX128" s="3">
        <v>1060</v>
      </c>
      <c r="BY128" s="3" t="s">
        <v>111</v>
      </c>
      <c r="BZ128" s="3" t="s">
        <v>153</v>
      </c>
      <c r="CA128" s="3">
        <v>0</v>
      </c>
      <c r="CB128" s="3" t="s">
        <v>111</v>
      </c>
      <c r="CC128" s="3" t="s">
        <v>111</v>
      </c>
      <c r="CD128" s="3" t="s">
        <v>1570</v>
      </c>
      <c r="CE128" s="3" t="s">
        <v>111</v>
      </c>
      <c r="CF128" s="3">
        <v>5022</v>
      </c>
      <c r="CI128" s="3">
        <f t="shared" si="11"/>
        <v>0.19950000000000001</v>
      </c>
      <c r="CN128" s="3" t="s">
        <v>3378</v>
      </c>
      <c r="CO128" s="3" t="s">
        <v>4707</v>
      </c>
    </row>
    <row r="129" spans="1:93" x14ac:dyDescent="0.2">
      <c r="A129" s="3" t="s">
        <v>3379</v>
      </c>
      <c r="C129" s="5" t="s">
        <v>4727</v>
      </c>
      <c r="D129" s="5">
        <v>5</v>
      </c>
      <c r="G129" s="3" t="s">
        <v>4707</v>
      </c>
      <c r="H129" s="3">
        <v>18059</v>
      </c>
      <c r="I129" s="14">
        <v>45156.720833333333</v>
      </c>
      <c r="J129" s="14">
        <v>45169.743750000001</v>
      </c>
      <c r="K129" s="3" t="s">
        <v>1599</v>
      </c>
      <c r="L129" s="3" t="s">
        <v>111</v>
      </c>
      <c r="M129" s="3" t="s">
        <v>111</v>
      </c>
      <c r="N129" s="3" t="s">
        <v>111</v>
      </c>
      <c r="O129" s="3" t="s">
        <v>112</v>
      </c>
      <c r="P129" s="3" t="s">
        <v>113</v>
      </c>
      <c r="Q129" s="3" t="s">
        <v>113</v>
      </c>
      <c r="R129" s="3">
        <v>0</v>
      </c>
      <c r="S129" s="3" t="s">
        <v>113</v>
      </c>
      <c r="T129" s="3">
        <v>0.8</v>
      </c>
      <c r="U129" s="3">
        <v>1</v>
      </c>
      <c r="V129" s="3">
        <v>270</v>
      </c>
      <c r="W129" s="3">
        <v>6</v>
      </c>
      <c r="X129" s="3">
        <v>8847</v>
      </c>
      <c r="Y129" s="3">
        <v>9.2499999999999999E-2</v>
      </c>
      <c r="Z129" s="3">
        <v>8.5099999999999995E-2</v>
      </c>
      <c r="AA129" s="3">
        <v>0.91979999999999995</v>
      </c>
      <c r="AB129" s="3" t="s">
        <v>113</v>
      </c>
      <c r="AC129" s="3" t="s">
        <v>4110</v>
      </c>
      <c r="AD129" s="3" t="s">
        <v>113</v>
      </c>
      <c r="AE129" s="3" t="s">
        <v>113</v>
      </c>
      <c r="AF129" s="3" t="s">
        <v>113</v>
      </c>
      <c r="AG129" s="3" t="s">
        <v>113</v>
      </c>
      <c r="AH129" s="3" t="s">
        <v>113</v>
      </c>
      <c r="AI129" s="3" t="s">
        <v>113</v>
      </c>
      <c r="AJ129" s="3">
        <v>823.72699999999998</v>
      </c>
      <c r="AK129" s="3" t="s">
        <v>1351</v>
      </c>
      <c r="AL129" s="3" t="s">
        <v>113</v>
      </c>
      <c r="AM129" s="3" t="s">
        <v>113</v>
      </c>
      <c r="AN129" s="3" t="s">
        <v>113</v>
      </c>
      <c r="AO129" s="3" t="s">
        <v>131</v>
      </c>
      <c r="AP129" s="3" t="s">
        <v>4111</v>
      </c>
      <c r="AQ129" s="3" t="s">
        <v>3468</v>
      </c>
      <c r="AR129" s="3" t="s">
        <v>3583</v>
      </c>
      <c r="AS129" s="3" t="s">
        <v>4112</v>
      </c>
      <c r="AT129" s="3" t="s">
        <v>4113</v>
      </c>
      <c r="AU129" s="3" t="s">
        <v>4114</v>
      </c>
      <c r="AV129" s="7">
        <v>0.14299999999999999</v>
      </c>
      <c r="AW129" s="10">
        <f t="shared" si="10"/>
        <v>0.11449999999999999</v>
      </c>
      <c r="AY129" s="3" t="s">
        <v>3379</v>
      </c>
      <c r="BA129" s="3" t="s">
        <v>4046</v>
      </c>
      <c r="BB129" s="3" t="s">
        <v>4115</v>
      </c>
      <c r="BC129" s="3" t="s">
        <v>4116</v>
      </c>
      <c r="BD129" s="3" t="s">
        <v>4117</v>
      </c>
      <c r="BE129" s="3" t="s">
        <v>3830</v>
      </c>
      <c r="BF129" s="3" t="s">
        <v>3492</v>
      </c>
      <c r="BG129" s="3" t="s">
        <v>3429</v>
      </c>
      <c r="BH129" s="3" t="s">
        <v>4116</v>
      </c>
      <c r="BI129" s="3" t="s">
        <v>3850</v>
      </c>
      <c r="BJ129" s="3" t="s">
        <v>4118</v>
      </c>
      <c r="BK129" s="3" t="s">
        <v>3471</v>
      </c>
      <c r="BL129" s="3" t="s">
        <v>4119</v>
      </c>
      <c r="BM129" s="3" t="s">
        <v>3453</v>
      </c>
      <c r="BN129" s="3" t="s">
        <v>3436</v>
      </c>
      <c r="BO129" s="3">
        <v>1.0500000000000001E-2</v>
      </c>
      <c r="BP129" s="3">
        <v>1.0500000000000001E-2</v>
      </c>
      <c r="BQ129" s="3">
        <v>1.0500000000000001E-2</v>
      </c>
      <c r="BR129" s="3">
        <v>116</v>
      </c>
      <c r="BS129" s="3">
        <v>132</v>
      </c>
      <c r="BT129" s="3">
        <v>19</v>
      </c>
      <c r="BU129" s="3">
        <v>1326</v>
      </c>
      <c r="BV129" s="3">
        <v>676</v>
      </c>
      <c r="BW129" s="3">
        <v>378</v>
      </c>
      <c r="BX129" s="3">
        <v>830</v>
      </c>
      <c r="BY129" s="3" t="s">
        <v>111</v>
      </c>
      <c r="BZ129" s="3" t="s">
        <v>153</v>
      </c>
      <c r="CA129" s="3">
        <v>0</v>
      </c>
      <c r="CB129" s="3" t="s">
        <v>111</v>
      </c>
      <c r="CC129" s="3" t="s">
        <v>111</v>
      </c>
      <c r="CD129" s="3" t="s">
        <v>1627</v>
      </c>
      <c r="CE129" s="3" t="s">
        <v>111</v>
      </c>
      <c r="CF129" s="3">
        <v>5022</v>
      </c>
      <c r="CI129" s="3">
        <f t="shared" si="11"/>
        <v>0.19950000000000001</v>
      </c>
      <c r="CN129" s="3" t="s">
        <v>3379</v>
      </c>
      <c r="CO129" s="3" t="s">
        <v>4707</v>
      </c>
    </row>
    <row r="130" spans="1:93" x14ac:dyDescent="0.2">
      <c r="A130" s="3" t="s">
        <v>3380</v>
      </c>
      <c r="C130" s="5" t="s">
        <v>4727</v>
      </c>
      <c r="D130" s="5">
        <v>5</v>
      </c>
      <c r="G130" s="3" t="s">
        <v>4707</v>
      </c>
      <c r="H130" s="3">
        <v>18060</v>
      </c>
      <c r="I130" s="14">
        <v>45156.752083333333</v>
      </c>
      <c r="J130" s="14">
        <v>45169.755555555559</v>
      </c>
      <c r="K130" s="3" t="s">
        <v>1653</v>
      </c>
      <c r="L130" s="3" t="s">
        <v>111</v>
      </c>
      <c r="M130" s="3" t="s">
        <v>111</v>
      </c>
      <c r="N130" s="3" t="s">
        <v>111</v>
      </c>
      <c r="O130" s="3" t="s">
        <v>112</v>
      </c>
      <c r="P130" s="3" t="s">
        <v>113</v>
      </c>
      <c r="Q130" s="3" t="s">
        <v>113</v>
      </c>
      <c r="R130" s="3">
        <v>0</v>
      </c>
      <c r="S130" s="3" t="s">
        <v>113</v>
      </c>
      <c r="T130" s="3">
        <v>0.8</v>
      </c>
      <c r="U130" s="3">
        <v>1</v>
      </c>
      <c r="V130" s="3">
        <v>270</v>
      </c>
      <c r="W130" s="3">
        <v>6</v>
      </c>
      <c r="X130" s="3">
        <v>8847</v>
      </c>
      <c r="Y130" s="3">
        <v>8.4599999999999995E-2</v>
      </c>
      <c r="Z130" s="3">
        <v>7.6899999999999996E-2</v>
      </c>
      <c r="AA130" s="3">
        <v>0.90820000000000001</v>
      </c>
      <c r="AB130" s="3" t="s">
        <v>113</v>
      </c>
      <c r="AC130" s="3" t="s">
        <v>4131</v>
      </c>
      <c r="AD130" s="3" t="s">
        <v>113</v>
      </c>
      <c r="AE130" s="3" t="s">
        <v>113</v>
      </c>
      <c r="AF130" s="3" t="s">
        <v>113</v>
      </c>
      <c r="AG130" s="3" t="s">
        <v>113</v>
      </c>
      <c r="AH130" s="3" t="s">
        <v>113</v>
      </c>
      <c r="AI130" s="3" t="s">
        <v>113</v>
      </c>
      <c r="AJ130" s="3">
        <v>808.89880000000005</v>
      </c>
      <c r="AK130" s="3" t="s">
        <v>4132</v>
      </c>
      <c r="AL130" s="3" t="s">
        <v>113</v>
      </c>
      <c r="AM130" s="3" t="s">
        <v>113</v>
      </c>
      <c r="AN130" s="3" t="s">
        <v>113</v>
      </c>
      <c r="AO130" s="3" t="s">
        <v>131</v>
      </c>
      <c r="AP130" s="3" t="s">
        <v>3702</v>
      </c>
      <c r="AQ130" s="3" t="s">
        <v>4133</v>
      </c>
      <c r="AR130" s="3" t="s">
        <v>3666</v>
      </c>
      <c r="AS130" s="3" t="s">
        <v>4134</v>
      </c>
      <c r="AT130" s="3" t="s">
        <v>4135</v>
      </c>
      <c r="AU130" s="3" t="s">
        <v>4136</v>
      </c>
      <c r="AV130" s="7">
        <v>0.11799999999999999</v>
      </c>
      <c r="AW130" s="10">
        <f t="shared" si="10"/>
        <v>0.1085</v>
      </c>
      <c r="AY130" s="3" t="s">
        <v>3380</v>
      </c>
      <c r="BA130" s="3" t="s">
        <v>3930</v>
      </c>
      <c r="BB130" s="3" t="s">
        <v>4137</v>
      </c>
      <c r="BC130" s="3" t="s">
        <v>3850</v>
      </c>
      <c r="BD130" s="3" t="s">
        <v>4138</v>
      </c>
      <c r="BE130" s="3" t="s">
        <v>3854</v>
      </c>
      <c r="BF130" s="3" t="s">
        <v>3433</v>
      </c>
      <c r="BG130" s="3" t="s">
        <v>3433</v>
      </c>
      <c r="BH130" s="3" t="s">
        <v>3850</v>
      </c>
      <c r="BI130" s="3" t="s">
        <v>3567</v>
      </c>
      <c r="BJ130" s="3" t="s">
        <v>4139</v>
      </c>
      <c r="BK130" s="3" t="s">
        <v>3492</v>
      </c>
      <c r="BL130" s="3" t="s">
        <v>4140</v>
      </c>
      <c r="BM130" s="3" t="s">
        <v>4141</v>
      </c>
      <c r="BN130" s="3" t="s">
        <v>3903</v>
      </c>
      <c r="BO130" s="3">
        <v>1.0500000000000001E-2</v>
      </c>
      <c r="BP130" s="3">
        <v>1.0500000000000001E-2</v>
      </c>
      <c r="BQ130" s="3">
        <v>1.0500000000000001E-2</v>
      </c>
      <c r="BR130" s="3">
        <v>152</v>
      </c>
      <c r="BS130" s="3">
        <v>116</v>
      </c>
      <c r="BT130" s="3">
        <v>17</v>
      </c>
      <c r="BU130" s="3">
        <v>1247</v>
      </c>
      <c r="BV130" s="3">
        <v>701</v>
      </c>
      <c r="BW130" s="3">
        <v>425</v>
      </c>
      <c r="BX130" s="3">
        <v>1060</v>
      </c>
      <c r="BY130" s="3" t="s">
        <v>111</v>
      </c>
      <c r="BZ130" s="3" t="s">
        <v>153</v>
      </c>
      <c r="CA130" s="3">
        <v>0</v>
      </c>
      <c r="CB130" s="3" t="s">
        <v>111</v>
      </c>
      <c r="CC130" s="3" t="s">
        <v>111</v>
      </c>
      <c r="CD130" s="3" t="s">
        <v>1682</v>
      </c>
      <c r="CE130" s="3" t="s">
        <v>111</v>
      </c>
      <c r="CF130" s="3">
        <v>5022</v>
      </c>
      <c r="CI130" s="3">
        <f t="shared" si="11"/>
        <v>0.17850000000000002</v>
      </c>
      <c r="CN130" s="3" t="s">
        <v>3380</v>
      </c>
      <c r="CO130" s="3" t="s">
        <v>4707</v>
      </c>
    </row>
    <row r="131" spans="1:93" x14ac:dyDescent="0.2">
      <c r="A131" s="3" t="s">
        <v>3381</v>
      </c>
      <c r="C131" s="5"/>
      <c r="D131" s="5"/>
      <c r="G131" s="3" t="s">
        <v>4707</v>
      </c>
      <c r="H131" s="3">
        <v>18061</v>
      </c>
      <c r="I131" s="14">
        <v>45156.773611111108</v>
      </c>
      <c r="J131" s="14">
        <v>45169.765277777777</v>
      </c>
      <c r="K131" s="3" t="s">
        <v>1711</v>
      </c>
      <c r="L131" s="3" t="s">
        <v>111</v>
      </c>
      <c r="M131" s="3" t="s">
        <v>111</v>
      </c>
      <c r="N131" s="3" t="s">
        <v>111</v>
      </c>
      <c r="O131" s="3" t="s">
        <v>112</v>
      </c>
      <c r="P131" s="3" t="s">
        <v>113</v>
      </c>
      <c r="Q131" s="3" t="s">
        <v>113</v>
      </c>
      <c r="R131" s="3">
        <v>0</v>
      </c>
      <c r="S131" s="3" t="s">
        <v>113</v>
      </c>
      <c r="T131" s="3">
        <v>0.8</v>
      </c>
      <c r="U131" s="3">
        <v>1</v>
      </c>
      <c r="V131" s="3">
        <v>270</v>
      </c>
      <c r="W131" s="3">
        <v>6</v>
      </c>
      <c r="X131" s="3">
        <v>8847</v>
      </c>
      <c r="Y131" s="3">
        <v>8.8099999999999998E-2</v>
      </c>
      <c r="Z131" s="3">
        <v>8.1900000000000001E-2</v>
      </c>
      <c r="AA131" s="3">
        <v>0.93020000000000003</v>
      </c>
      <c r="AB131" s="3" t="s">
        <v>113</v>
      </c>
      <c r="AC131" s="3" t="s">
        <v>4152</v>
      </c>
      <c r="AD131" s="3" t="s">
        <v>113</v>
      </c>
      <c r="AE131" s="3" t="s">
        <v>113</v>
      </c>
      <c r="AF131" s="3" t="s">
        <v>113</v>
      </c>
      <c r="AG131" s="3" t="s">
        <v>113</v>
      </c>
      <c r="AH131" s="3" t="s">
        <v>113</v>
      </c>
      <c r="AI131" s="3" t="s">
        <v>113</v>
      </c>
      <c r="AJ131" s="3">
        <v>808.24459999999999</v>
      </c>
      <c r="AK131" s="3" t="s">
        <v>4153</v>
      </c>
      <c r="AL131" s="3" t="s">
        <v>113</v>
      </c>
      <c r="AM131" s="3" t="s">
        <v>113</v>
      </c>
      <c r="AN131" s="3" t="s">
        <v>113</v>
      </c>
      <c r="AO131" s="3" t="s">
        <v>131</v>
      </c>
      <c r="AP131" s="3" t="s">
        <v>3871</v>
      </c>
      <c r="AQ131" s="3" t="s">
        <v>3809</v>
      </c>
      <c r="AR131" s="3" t="s">
        <v>4154</v>
      </c>
      <c r="AS131" s="3" t="s">
        <v>4155</v>
      </c>
      <c r="AT131" s="3" t="s">
        <v>4156</v>
      </c>
      <c r="AU131" s="3" t="s">
        <v>3981</v>
      </c>
      <c r="AV131" s="7">
        <v>0.11600000000000001</v>
      </c>
      <c r="AW131" s="10">
        <f t="shared" si="10"/>
        <v>0.124</v>
      </c>
      <c r="AY131" s="3" t="s">
        <v>3381</v>
      </c>
      <c r="BA131" s="3" t="s">
        <v>3851</v>
      </c>
      <c r="BB131" s="3" t="s">
        <v>4157</v>
      </c>
      <c r="BC131" s="3" t="s">
        <v>4158</v>
      </c>
      <c r="BD131" s="3" t="s">
        <v>4016</v>
      </c>
      <c r="BE131" s="3" t="s">
        <v>4159</v>
      </c>
      <c r="BF131" s="3" t="s">
        <v>3566</v>
      </c>
      <c r="BG131" s="3" t="s">
        <v>3497</v>
      </c>
      <c r="BH131" s="3" t="s">
        <v>4158</v>
      </c>
      <c r="BI131" s="3" t="s">
        <v>4160</v>
      </c>
      <c r="BJ131" s="3" t="s">
        <v>3578</v>
      </c>
      <c r="BK131" s="3" t="s">
        <v>3497</v>
      </c>
      <c r="BL131" s="3" t="s">
        <v>4161</v>
      </c>
      <c r="BM131" s="3" t="s">
        <v>3664</v>
      </c>
      <c r="BN131" s="3" t="s">
        <v>3707</v>
      </c>
      <c r="BO131" s="3">
        <v>1.0500000000000001E-2</v>
      </c>
      <c r="BP131" s="3">
        <v>1.0500000000000001E-2</v>
      </c>
      <c r="BQ131" s="3">
        <v>1.0500000000000001E-2</v>
      </c>
      <c r="BR131" s="3">
        <v>156</v>
      </c>
      <c r="BS131" s="3">
        <v>132</v>
      </c>
      <c r="BT131" s="3">
        <v>15</v>
      </c>
      <c r="BU131" s="3">
        <v>1287</v>
      </c>
      <c r="BV131" s="3">
        <v>1179</v>
      </c>
      <c r="BW131" s="3">
        <v>366</v>
      </c>
      <c r="BX131" s="3">
        <v>1030</v>
      </c>
      <c r="BY131" s="3" t="s">
        <v>111</v>
      </c>
      <c r="BZ131" s="3" t="s">
        <v>153</v>
      </c>
      <c r="CA131" s="3">
        <v>0</v>
      </c>
      <c r="CB131" s="3" t="s">
        <v>111</v>
      </c>
      <c r="CC131" s="3" t="s">
        <v>111</v>
      </c>
      <c r="CD131" s="3" t="s">
        <v>1740</v>
      </c>
      <c r="CE131" s="3" t="s">
        <v>111</v>
      </c>
      <c r="CF131" s="3">
        <v>5022</v>
      </c>
      <c r="CI131" s="3">
        <f t="shared" si="11"/>
        <v>0.1575</v>
      </c>
      <c r="CJ131" s="3">
        <f>_xlfn.T.TEST(CI123:CI130,CI131:CI138,2,2)</f>
        <v>9.9323093148043454E-2</v>
      </c>
      <c r="CN131" s="3" t="s">
        <v>3381</v>
      </c>
      <c r="CO131" s="3" t="s">
        <v>4707</v>
      </c>
    </row>
    <row r="132" spans="1:93" x14ac:dyDescent="0.2">
      <c r="A132" s="3" t="s">
        <v>3382</v>
      </c>
      <c r="C132" s="5" t="s">
        <v>4727</v>
      </c>
      <c r="D132" s="5">
        <v>28</v>
      </c>
      <c r="G132" s="3" t="s">
        <v>4707</v>
      </c>
      <c r="H132" s="3">
        <v>18062</v>
      </c>
      <c r="I132" s="14">
        <v>45156.795138888891</v>
      </c>
      <c r="J132" s="14">
        <v>45175.697222222225</v>
      </c>
      <c r="K132" s="3" t="s">
        <v>1772</v>
      </c>
      <c r="L132" s="3" t="s">
        <v>111</v>
      </c>
      <c r="M132" s="3" t="s">
        <v>111</v>
      </c>
      <c r="N132" s="3" t="s">
        <v>111</v>
      </c>
      <c r="O132" s="3" t="s">
        <v>112</v>
      </c>
      <c r="P132" s="3" t="s">
        <v>113</v>
      </c>
      <c r="Q132" s="3" t="s">
        <v>113</v>
      </c>
      <c r="R132" s="3">
        <v>0</v>
      </c>
      <c r="S132" s="3" t="s">
        <v>113</v>
      </c>
      <c r="T132" s="3">
        <v>0.8</v>
      </c>
      <c r="U132" s="3">
        <v>1</v>
      </c>
      <c r="V132" s="3">
        <v>270</v>
      </c>
      <c r="W132" s="3">
        <v>6</v>
      </c>
      <c r="X132" s="3">
        <v>8847</v>
      </c>
      <c r="Y132" s="3">
        <v>9.8699999999999996E-2</v>
      </c>
      <c r="Z132" s="3">
        <v>4.65E-2</v>
      </c>
      <c r="AA132" s="3">
        <v>0.4713</v>
      </c>
      <c r="AB132" s="3" t="s">
        <v>113</v>
      </c>
      <c r="AC132" s="3" t="s">
        <v>4174</v>
      </c>
      <c r="AD132" s="3" t="s">
        <v>113</v>
      </c>
      <c r="AE132" s="3" t="s">
        <v>113</v>
      </c>
      <c r="AF132" s="3" t="s">
        <v>113</v>
      </c>
      <c r="AG132" s="3" t="s">
        <v>113</v>
      </c>
      <c r="AH132" s="3" t="s">
        <v>113</v>
      </c>
      <c r="AI132" s="3" t="s">
        <v>113</v>
      </c>
      <c r="AJ132" s="3">
        <v>469.5231</v>
      </c>
      <c r="AK132" s="3" t="s">
        <v>4175</v>
      </c>
      <c r="AL132" s="3" t="s">
        <v>113</v>
      </c>
      <c r="AM132" s="3" t="s">
        <v>113</v>
      </c>
      <c r="AN132" s="3" t="s">
        <v>113</v>
      </c>
      <c r="AO132" s="3" t="s">
        <v>131</v>
      </c>
      <c r="AP132" s="3" t="s">
        <v>4176</v>
      </c>
      <c r="AQ132" s="3" t="s">
        <v>4177</v>
      </c>
      <c r="AR132" s="3" t="s">
        <v>4178</v>
      </c>
      <c r="AS132" s="3" t="s">
        <v>4179</v>
      </c>
      <c r="AT132" s="3" t="s">
        <v>4180</v>
      </c>
      <c r="AU132" s="3" t="s">
        <v>4181</v>
      </c>
      <c r="AV132" s="7">
        <v>8.5999999999999993E-2</v>
      </c>
      <c r="AW132" s="10">
        <f t="shared" si="10"/>
        <v>8.5499999999999993E-2</v>
      </c>
      <c r="AY132" s="3" t="s">
        <v>3382</v>
      </c>
      <c r="BA132" s="3" t="s">
        <v>3963</v>
      </c>
      <c r="BB132" s="3" t="s">
        <v>4182</v>
      </c>
      <c r="BC132" s="3" t="s">
        <v>3935</v>
      </c>
      <c r="BD132" s="3" t="s">
        <v>4183</v>
      </c>
      <c r="BE132" s="3" t="s">
        <v>3793</v>
      </c>
      <c r="BF132" s="3" t="s">
        <v>3926</v>
      </c>
      <c r="BG132" s="3" t="s">
        <v>3903</v>
      </c>
      <c r="BH132" s="3" t="s">
        <v>3935</v>
      </c>
      <c r="BI132" s="3" t="s">
        <v>4184</v>
      </c>
      <c r="BJ132" s="3" t="s">
        <v>4085</v>
      </c>
      <c r="BK132" s="3" t="s">
        <v>3433</v>
      </c>
      <c r="BL132" s="3" t="s">
        <v>3716</v>
      </c>
      <c r="BM132" s="3" t="s">
        <v>3812</v>
      </c>
      <c r="BN132" s="3" t="s">
        <v>3517</v>
      </c>
      <c r="BO132" s="3">
        <v>1.0500000000000001E-2</v>
      </c>
      <c r="BP132" s="3">
        <v>1.0500000000000001E-2</v>
      </c>
      <c r="BQ132" s="3">
        <v>1.0500000000000001E-2</v>
      </c>
      <c r="BR132" s="3">
        <v>132</v>
      </c>
      <c r="BS132" s="3">
        <v>124</v>
      </c>
      <c r="BT132" s="3">
        <v>17</v>
      </c>
      <c r="BU132" s="3">
        <v>1200</v>
      </c>
      <c r="BV132" s="3">
        <v>1150</v>
      </c>
      <c r="BW132" s="3">
        <v>356</v>
      </c>
      <c r="BX132" s="3">
        <v>950</v>
      </c>
      <c r="BY132" s="3" t="s">
        <v>111</v>
      </c>
      <c r="BZ132" s="3" t="s">
        <v>153</v>
      </c>
      <c r="CA132" s="3">
        <v>0</v>
      </c>
      <c r="CB132" s="3" t="s">
        <v>111</v>
      </c>
      <c r="CC132" s="3" t="s">
        <v>111</v>
      </c>
      <c r="CD132" s="3" t="s">
        <v>1798</v>
      </c>
      <c r="CE132" s="3" t="s">
        <v>111</v>
      </c>
      <c r="CF132" s="3">
        <v>5022</v>
      </c>
      <c r="CI132" s="3">
        <f t="shared" si="11"/>
        <v>0.17850000000000002</v>
      </c>
      <c r="CN132" s="3" t="s">
        <v>3382</v>
      </c>
      <c r="CO132" s="3" t="s">
        <v>4707</v>
      </c>
    </row>
    <row r="133" spans="1:93" x14ac:dyDescent="0.2">
      <c r="A133" s="3" t="s">
        <v>3383</v>
      </c>
      <c r="C133" s="5" t="s">
        <v>4727</v>
      </c>
      <c r="D133" s="5">
        <v>28</v>
      </c>
      <c r="G133" s="3" t="s">
        <v>4707</v>
      </c>
      <c r="H133" s="3">
        <v>18063</v>
      </c>
      <c r="I133" s="14">
        <v>45156.81527777778</v>
      </c>
      <c r="J133" s="14">
        <v>45175.707638888889</v>
      </c>
      <c r="K133" s="3" t="s">
        <v>1828</v>
      </c>
      <c r="L133" s="3" t="s">
        <v>111</v>
      </c>
      <c r="M133" s="3" t="s">
        <v>111</v>
      </c>
      <c r="N133" s="3" t="s">
        <v>111</v>
      </c>
      <c r="O133" s="3" t="s">
        <v>112</v>
      </c>
      <c r="P133" s="3" t="s">
        <v>113</v>
      </c>
      <c r="Q133" s="3" t="s">
        <v>113</v>
      </c>
      <c r="R133" s="3">
        <v>0</v>
      </c>
      <c r="S133" s="3" t="s">
        <v>113</v>
      </c>
      <c r="T133" s="3">
        <v>0.8</v>
      </c>
      <c r="U133" s="3">
        <v>1</v>
      </c>
      <c r="V133" s="3">
        <v>270</v>
      </c>
      <c r="W133" s="3">
        <v>6</v>
      </c>
      <c r="X133" s="3">
        <v>8847</v>
      </c>
      <c r="Y133" s="3">
        <v>0.1134</v>
      </c>
      <c r="Z133" s="3">
        <v>0.1071</v>
      </c>
      <c r="AA133" s="3">
        <v>0.94430000000000003</v>
      </c>
      <c r="AB133" s="3" t="s">
        <v>113</v>
      </c>
      <c r="AC133" s="3" t="s">
        <v>4193</v>
      </c>
      <c r="AD133" s="3" t="s">
        <v>113</v>
      </c>
      <c r="AE133" s="3" t="s">
        <v>113</v>
      </c>
      <c r="AF133" s="3" t="s">
        <v>113</v>
      </c>
      <c r="AG133" s="3" t="s">
        <v>113</v>
      </c>
      <c r="AH133" s="3" t="s">
        <v>113</v>
      </c>
      <c r="AI133" s="3" t="s">
        <v>113</v>
      </c>
      <c r="AJ133" s="3">
        <v>880.78629999999998</v>
      </c>
      <c r="AK133" s="3" t="s">
        <v>4194</v>
      </c>
      <c r="AL133" s="3" t="s">
        <v>113</v>
      </c>
      <c r="AM133" s="3" t="s">
        <v>113</v>
      </c>
      <c r="AN133" s="3" t="s">
        <v>113</v>
      </c>
      <c r="AO133" s="3" t="s">
        <v>131</v>
      </c>
      <c r="AP133" s="3" t="s">
        <v>4090</v>
      </c>
      <c r="AQ133" s="3" t="s">
        <v>3510</v>
      </c>
      <c r="AR133" s="3" t="s">
        <v>4195</v>
      </c>
      <c r="AS133" s="3" t="s">
        <v>4196</v>
      </c>
      <c r="AT133" s="3" t="s">
        <v>4197</v>
      </c>
      <c r="AU133" s="3" t="s">
        <v>4198</v>
      </c>
      <c r="AV133" s="7">
        <v>0.154</v>
      </c>
      <c r="AW133" s="10">
        <f t="shared" si="10"/>
        <v>0.123</v>
      </c>
      <c r="AY133" s="3" t="s">
        <v>3383</v>
      </c>
      <c r="BA133" s="3" t="s">
        <v>4199</v>
      </c>
      <c r="BB133" s="3" t="s">
        <v>4200</v>
      </c>
      <c r="BC133" s="3" t="s">
        <v>3615</v>
      </c>
      <c r="BD133" s="3" t="s">
        <v>3698</v>
      </c>
      <c r="BE133" s="3" t="s">
        <v>3980</v>
      </c>
      <c r="BF133" s="3" t="s">
        <v>3745</v>
      </c>
      <c r="BG133" s="3" t="s">
        <v>3471</v>
      </c>
      <c r="BH133" s="3" t="s">
        <v>3615</v>
      </c>
      <c r="BI133" s="3" t="s">
        <v>3997</v>
      </c>
      <c r="BJ133" s="3" t="s">
        <v>4201</v>
      </c>
      <c r="BK133" s="3" t="s">
        <v>3997</v>
      </c>
      <c r="BL133" s="3" t="s">
        <v>3854</v>
      </c>
      <c r="BM133" s="3" t="s">
        <v>3903</v>
      </c>
      <c r="BN133" s="3" t="s">
        <v>3811</v>
      </c>
      <c r="BO133" s="3">
        <v>1.0500000000000001E-2</v>
      </c>
      <c r="BP133" s="3">
        <v>1.0500000000000001E-2</v>
      </c>
      <c r="BQ133" s="3">
        <v>1.0500000000000001E-2</v>
      </c>
      <c r="BR133" s="3">
        <v>112</v>
      </c>
      <c r="BS133" s="3">
        <v>168</v>
      </c>
      <c r="BT133" s="3">
        <v>18</v>
      </c>
      <c r="BU133" s="3">
        <v>1248</v>
      </c>
      <c r="BV133" s="3">
        <v>1417</v>
      </c>
      <c r="BW133" s="3">
        <v>412</v>
      </c>
      <c r="BX133" s="3">
        <v>1090</v>
      </c>
      <c r="BY133" s="3" t="s">
        <v>111</v>
      </c>
      <c r="BZ133" s="3" t="s">
        <v>153</v>
      </c>
      <c r="CA133" s="3">
        <v>0</v>
      </c>
      <c r="CB133" s="3" t="s">
        <v>111</v>
      </c>
      <c r="CC133" s="3" t="s">
        <v>111</v>
      </c>
      <c r="CD133" s="3" t="s">
        <v>1855</v>
      </c>
      <c r="CE133" s="3" t="s">
        <v>111</v>
      </c>
      <c r="CF133" s="3">
        <v>5022</v>
      </c>
      <c r="CI133" s="3">
        <f t="shared" si="11"/>
        <v>0.189</v>
      </c>
      <c r="CN133" s="3" t="s">
        <v>3383</v>
      </c>
      <c r="CO133" s="3" t="s">
        <v>4707</v>
      </c>
    </row>
    <row r="134" spans="1:93" x14ac:dyDescent="0.2">
      <c r="A134" s="3" t="s">
        <v>3384</v>
      </c>
      <c r="C134" s="5" t="s">
        <v>4727</v>
      </c>
      <c r="D134" s="5">
        <v>28</v>
      </c>
      <c r="G134" s="3" t="s">
        <v>4707</v>
      </c>
      <c r="H134" s="3">
        <v>18064</v>
      </c>
      <c r="I134" s="14">
        <v>45159.52847222222</v>
      </c>
      <c r="J134" s="14">
        <v>45175.717361111114</v>
      </c>
      <c r="K134" s="3" t="s">
        <v>1883</v>
      </c>
      <c r="L134" s="3" t="s">
        <v>111</v>
      </c>
      <c r="M134" s="3" t="s">
        <v>111</v>
      </c>
      <c r="N134" s="3" t="s">
        <v>111</v>
      </c>
      <c r="O134" s="3" t="s">
        <v>112</v>
      </c>
      <c r="P134" s="3" t="s">
        <v>113</v>
      </c>
      <c r="Q134" s="3" t="s">
        <v>113</v>
      </c>
      <c r="R134" s="3">
        <v>0</v>
      </c>
      <c r="S134" s="3" t="s">
        <v>113</v>
      </c>
      <c r="T134" s="3">
        <v>0.8</v>
      </c>
      <c r="U134" s="3">
        <v>1</v>
      </c>
      <c r="V134" s="3">
        <v>270</v>
      </c>
      <c r="W134" s="3">
        <v>6</v>
      </c>
      <c r="X134" s="3">
        <v>8847</v>
      </c>
      <c r="Y134" s="3">
        <v>9.1399999999999995E-2</v>
      </c>
      <c r="Z134" s="3">
        <v>8.4599999999999995E-2</v>
      </c>
      <c r="AA134" s="3">
        <v>0.92569999999999997</v>
      </c>
      <c r="AB134" s="3" t="s">
        <v>113</v>
      </c>
      <c r="AC134" s="3" t="s">
        <v>4213</v>
      </c>
      <c r="AD134" s="3" t="s">
        <v>113</v>
      </c>
      <c r="AE134" s="3" t="s">
        <v>113</v>
      </c>
      <c r="AF134" s="3" t="s">
        <v>113</v>
      </c>
      <c r="AG134" s="3" t="s">
        <v>113</v>
      </c>
      <c r="AH134" s="3" t="s">
        <v>113</v>
      </c>
      <c r="AI134" s="3" t="s">
        <v>113</v>
      </c>
      <c r="AJ134" s="3">
        <v>805.77329999999995</v>
      </c>
      <c r="AK134" s="3" t="s">
        <v>4214</v>
      </c>
      <c r="AL134" s="3" t="s">
        <v>113</v>
      </c>
      <c r="AM134" s="3" t="s">
        <v>113</v>
      </c>
      <c r="AN134" s="3" t="s">
        <v>113</v>
      </c>
      <c r="AO134" s="3" t="s">
        <v>131</v>
      </c>
      <c r="AP134" s="3" t="s">
        <v>4210</v>
      </c>
      <c r="AQ134" s="3" t="s">
        <v>4070</v>
      </c>
      <c r="AR134" s="3" t="s">
        <v>4215</v>
      </c>
      <c r="AS134" s="3" t="s">
        <v>4216</v>
      </c>
      <c r="AT134" s="3" t="s">
        <v>4217</v>
      </c>
      <c r="AU134" s="3" t="s">
        <v>4218</v>
      </c>
      <c r="AV134" s="7">
        <v>0.122</v>
      </c>
      <c r="AW134" s="10">
        <f t="shared" si="10"/>
        <v>0.126</v>
      </c>
      <c r="AY134" s="3" t="s">
        <v>3384</v>
      </c>
      <c r="BA134" s="3" t="s">
        <v>4219</v>
      </c>
      <c r="BB134" s="3" t="s">
        <v>4220</v>
      </c>
      <c r="BC134" s="3" t="s">
        <v>4018</v>
      </c>
      <c r="BD134" s="3" t="s">
        <v>3529</v>
      </c>
      <c r="BE134" s="3" t="s">
        <v>3830</v>
      </c>
      <c r="BF134" s="3" t="s">
        <v>3566</v>
      </c>
      <c r="BG134" s="3" t="s">
        <v>3429</v>
      </c>
      <c r="BH134" s="3" t="s">
        <v>4018</v>
      </c>
      <c r="BI134" s="3" t="s">
        <v>4221</v>
      </c>
      <c r="BJ134" s="3" t="s">
        <v>4222</v>
      </c>
      <c r="BK134" s="3" t="s">
        <v>3429</v>
      </c>
      <c r="BL134" s="3" t="s">
        <v>4223</v>
      </c>
      <c r="BM134" s="3" t="s">
        <v>4081</v>
      </c>
      <c r="BN134" s="3" t="s">
        <v>3471</v>
      </c>
      <c r="BO134" s="3">
        <v>1.0500000000000001E-2</v>
      </c>
      <c r="BP134" s="3">
        <v>1.0500000000000001E-2</v>
      </c>
      <c r="BQ134" s="3">
        <v>1.0500000000000001E-2</v>
      </c>
      <c r="BR134" s="3">
        <v>160</v>
      </c>
      <c r="BS134" s="3">
        <v>128</v>
      </c>
      <c r="BT134" s="3">
        <v>18</v>
      </c>
      <c r="BU134" s="3">
        <v>950</v>
      </c>
      <c r="BV134" s="3">
        <v>1523</v>
      </c>
      <c r="BW134" s="3">
        <v>565</v>
      </c>
      <c r="BX134" s="3">
        <v>1100</v>
      </c>
      <c r="BY134" s="3" t="s">
        <v>111</v>
      </c>
      <c r="BZ134" s="3" t="s">
        <v>153</v>
      </c>
      <c r="CA134" s="3">
        <v>0</v>
      </c>
      <c r="CB134" s="3" t="s">
        <v>111</v>
      </c>
      <c r="CC134" s="3" t="s">
        <v>111</v>
      </c>
      <c r="CD134" s="3" t="s">
        <v>1911</v>
      </c>
      <c r="CE134" s="3" t="s">
        <v>111</v>
      </c>
      <c r="CF134" s="3">
        <v>5022</v>
      </c>
      <c r="CI134" s="3">
        <f t="shared" si="11"/>
        <v>0.189</v>
      </c>
      <c r="CN134" s="3" t="s">
        <v>3384</v>
      </c>
      <c r="CO134" s="3" t="s">
        <v>4707</v>
      </c>
    </row>
    <row r="135" spans="1:93" x14ac:dyDescent="0.2">
      <c r="A135" s="3" t="s">
        <v>3385</v>
      </c>
      <c r="C135" s="5" t="s">
        <v>4727</v>
      </c>
      <c r="D135" s="5">
        <v>28</v>
      </c>
      <c r="G135" s="3" t="s">
        <v>4707</v>
      </c>
      <c r="H135" s="3">
        <v>18065</v>
      </c>
      <c r="I135" s="14">
        <v>45159.549305555556</v>
      </c>
      <c r="J135" s="14">
        <v>45175.727777777778</v>
      </c>
      <c r="K135" s="3" t="s">
        <v>1941</v>
      </c>
      <c r="L135" s="3" t="s">
        <v>111</v>
      </c>
      <c r="M135" s="3" t="s">
        <v>111</v>
      </c>
      <c r="N135" s="3" t="s">
        <v>111</v>
      </c>
      <c r="O135" s="3" t="s">
        <v>112</v>
      </c>
      <c r="P135" s="3" t="s">
        <v>113</v>
      </c>
      <c r="Q135" s="3" t="s">
        <v>113</v>
      </c>
      <c r="R135" s="3">
        <v>0</v>
      </c>
      <c r="S135" s="3" t="s">
        <v>113</v>
      </c>
      <c r="T135" s="3">
        <v>0.8</v>
      </c>
      <c r="U135" s="3">
        <v>1</v>
      </c>
      <c r="V135" s="3">
        <v>270</v>
      </c>
      <c r="W135" s="3">
        <v>6</v>
      </c>
      <c r="X135" s="3">
        <v>8847</v>
      </c>
      <c r="Y135" s="3">
        <v>5.2200000000000003E-2</v>
      </c>
      <c r="Z135" s="3">
        <v>4.2500000000000003E-2</v>
      </c>
      <c r="AA135" s="3">
        <v>0.81389999999999996</v>
      </c>
      <c r="AB135" s="3" t="s">
        <v>113</v>
      </c>
      <c r="AC135" s="3" t="s">
        <v>4235</v>
      </c>
      <c r="AD135" s="3" t="s">
        <v>113</v>
      </c>
      <c r="AE135" s="3" t="s">
        <v>113</v>
      </c>
      <c r="AF135" s="3" t="s">
        <v>113</v>
      </c>
      <c r="AG135" s="3" t="s">
        <v>113</v>
      </c>
      <c r="AH135" s="3" t="s">
        <v>113</v>
      </c>
      <c r="AI135" s="3" t="s">
        <v>113</v>
      </c>
      <c r="AJ135" s="3">
        <v>701.68550000000005</v>
      </c>
      <c r="AK135" s="3" t="s">
        <v>4236</v>
      </c>
      <c r="AL135" s="3" t="s">
        <v>113</v>
      </c>
      <c r="AM135" s="3" t="s">
        <v>113</v>
      </c>
      <c r="AN135" s="3" t="s">
        <v>113</v>
      </c>
      <c r="AO135" s="3" t="s">
        <v>131</v>
      </c>
      <c r="AP135" s="3" t="s">
        <v>4237</v>
      </c>
      <c r="AQ135" s="3" t="s">
        <v>4034</v>
      </c>
      <c r="AR135" s="3" t="s">
        <v>3985</v>
      </c>
      <c r="AS135" s="3" t="s">
        <v>4238</v>
      </c>
      <c r="AT135" s="3" t="s">
        <v>4239</v>
      </c>
      <c r="AU135" s="3" t="s">
        <v>4240</v>
      </c>
      <c r="AV135" s="7">
        <v>8.3000000000000004E-2</v>
      </c>
      <c r="AW135" s="10">
        <f t="shared" si="10"/>
        <v>8.4000000000000005E-2</v>
      </c>
      <c r="AY135" s="3" t="s">
        <v>3385</v>
      </c>
      <c r="BA135" s="3" t="s">
        <v>3487</v>
      </c>
      <c r="BB135" s="3" t="s">
        <v>4241</v>
      </c>
      <c r="BC135" s="3" t="s">
        <v>3671</v>
      </c>
      <c r="BD135" s="3" t="s">
        <v>3583</v>
      </c>
      <c r="BE135" s="3" t="s">
        <v>3480</v>
      </c>
      <c r="BF135" s="3" t="s">
        <v>3566</v>
      </c>
      <c r="BG135" s="3" t="s">
        <v>3566</v>
      </c>
      <c r="BH135" s="3" t="s">
        <v>3671</v>
      </c>
      <c r="BI135" s="3" t="s">
        <v>3571</v>
      </c>
      <c r="BJ135" s="3" t="s">
        <v>3664</v>
      </c>
      <c r="BK135" s="3" t="s">
        <v>3497</v>
      </c>
      <c r="BL135" s="3" t="s">
        <v>4242</v>
      </c>
      <c r="BM135" s="3" t="s">
        <v>3495</v>
      </c>
      <c r="BN135" s="3" t="s">
        <v>3433</v>
      </c>
      <c r="BO135" s="3">
        <v>1.0500000000000001E-2</v>
      </c>
      <c r="BP135" s="3">
        <v>1.0500000000000001E-2</v>
      </c>
      <c r="BQ135" s="3">
        <v>1.0500000000000001E-2</v>
      </c>
      <c r="BR135" s="3">
        <v>140</v>
      </c>
      <c r="BS135" s="3">
        <v>140</v>
      </c>
      <c r="BT135" s="3">
        <v>10</v>
      </c>
      <c r="BU135" s="3">
        <v>605</v>
      </c>
      <c r="BV135" s="3">
        <v>1502</v>
      </c>
      <c r="BW135" s="3">
        <v>458</v>
      </c>
      <c r="BX135" s="3">
        <v>1030</v>
      </c>
      <c r="BY135" s="3" t="s">
        <v>111</v>
      </c>
      <c r="BZ135" s="3" t="s">
        <v>153</v>
      </c>
      <c r="CA135" s="3">
        <v>0</v>
      </c>
      <c r="CB135" s="3" t="s">
        <v>111</v>
      </c>
      <c r="CC135" s="3" t="s">
        <v>111</v>
      </c>
      <c r="CD135" s="3" t="s">
        <v>1968</v>
      </c>
      <c r="CE135" s="3" t="s">
        <v>111</v>
      </c>
      <c r="CF135" s="3">
        <v>5022</v>
      </c>
      <c r="CI135" s="3">
        <f t="shared" si="11"/>
        <v>0.10500000000000001</v>
      </c>
      <c r="CN135" s="3" t="s">
        <v>3385</v>
      </c>
      <c r="CO135" s="3" t="s">
        <v>4707</v>
      </c>
    </row>
    <row r="136" spans="1:93" x14ac:dyDescent="0.2">
      <c r="A136" s="3" t="s">
        <v>3386</v>
      </c>
      <c r="C136" s="5" t="s">
        <v>4727</v>
      </c>
      <c r="D136" s="5">
        <v>28</v>
      </c>
      <c r="G136" s="3" t="s">
        <v>4707</v>
      </c>
      <c r="H136" s="3">
        <v>18066</v>
      </c>
      <c r="I136" s="14">
        <v>45159.570138888892</v>
      </c>
      <c r="J136" s="14">
        <v>45175.738194444442</v>
      </c>
      <c r="K136" s="3" t="s">
        <v>1997</v>
      </c>
      <c r="L136" s="3" t="s">
        <v>111</v>
      </c>
      <c r="M136" s="3" t="s">
        <v>111</v>
      </c>
      <c r="N136" s="3" t="s">
        <v>111</v>
      </c>
      <c r="O136" s="3" t="s">
        <v>112</v>
      </c>
      <c r="P136" s="3" t="s">
        <v>113</v>
      </c>
      <c r="Q136" s="3" t="s">
        <v>113</v>
      </c>
      <c r="R136" s="3">
        <v>0</v>
      </c>
      <c r="S136" s="3" t="s">
        <v>113</v>
      </c>
      <c r="T136" s="3">
        <v>0.8</v>
      </c>
      <c r="U136" s="3">
        <v>1</v>
      </c>
      <c r="V136" s="3">
        <v>270</v>
      </c>
      <c r="W136" s="3">
        <v>6</v>
      </c>
      <c r="X136" s="3">
        <v>8847</v>
      </c>
      <c r="Y136" s="3">
        <v>7.7100000000000002E-2</v>
      </c>
      <c r="Z136" s="3">
        <v>6.7400000000000002E-2</v>
      </c>
      <c r="AA136" s="3">
        <v>0.87390000000000001</v>
      </c>
      <c r="AB136" s="3" t="s">
        <v>113</v>
      </c>
      <c r="AC136" s="3" t="s">
        <v>3904</v>
      </c>
      <c r="AD136" s="3" t="s">
        <v>113</v>
      </c>
      <c r="AE136" s="3" t="s">
        <v>113</v>
      </c>
      <c r="AF136" s="3" t="s">
        <v>113</v>
      </c>
      <c r="AG136" s="3" t="s">
        <v>113</v>
      </c>
      <c r="AH136" s="3" t="s">
        <v>113</v>
      </c>
      <c r="AI136" s="3" t="s">
        <v>113</v>
      </c>
      <c r="AJ136" s="3">
        <v>795.52440000000001</v>
      </c>
      <c r="AK136" s="3" t="s">
        <v>4252</v>
      </c>
      <c r="AL136" s="3" t="s">
        <v>113</v>
      </c>
      <c r="AM136" s="3" t="s">
        <v>113</v>
      </c>
      <c r="AN136" s="3" t="s">
        <v>113</v>
      </c>
      <c r="AO136" s="3" t="s">
        <v>131</v>
      </c>
      <c r="AP136" s="3" t="s">
        <v>3861</v>
      </c>
      <c r="AQ136" s="3" t="s">
        <v>3677</v>
      </c>
      <c r="AR136" s="3" t="s">
        <v>4253</v>
      </c>
      <c r="AS136" s="3" t="s">
        <v>4254</v>
      </c>
      <c r="AT136" s="3" t="s">
        <v>4255</v>
      </c>
      <c r="AU136" s="3" t="s">
        <v>4256</v>
      </c>
      <c r="AV136" s="7">
        <v>0.11899999999999999</v>
      </c>
      <c r="AW136" s="10">
        <f t="shared" si="10"/>
        <v>9.9500000000000005E-2</v>
      </c>
      <c r="AY136" s="3" t="s">
        <v>3386</v>
      </c>
      <c r="BA136" s="3" t="s">
        <v>4258</v>
      </c>
      <c r="BB136" s="3" t="s">
        <v>4259</v>
      </c>
      <c r="BC136" s="3" t="s">
        <v>3563</v>
      </c>
      <c r="BD136" s="3" t="s">
        <v>4260</v>
      </c>
      <c r="BE136" s="3" t="s">
        <v>3983</v>
      </c>
      <c r="BF136" s="3" t="s">
        <v>3429</v>
      </c>
      <c r="BG136" s="3" t="s">
        <v>3492</v>
      </c>
      <c r="BH136" s="3" t="s">
        <v>3563</v>
      </c>
      <c r="BI136" s="3" t="s">
        <v>3440</v>
      </c>
      <c r="BJ136" s="3" t="s">
        <v>4261</v>
      </c>
      <c r="BK136" s="3" t="s">
        <v>3745</v>
      </c>
      <c r="BL136" s="3" t="s">
        <v>4262</v>
      </c>
      <c r="BM136" s="3" t="s">
        <v>4263</v>
      </c>
      <c r="BN136" s="3" t="s">
        <v>3430</v>
      </c>
      <c r="BO136" s="3">
        <v>1.0500000000000001E-2</v>
      </c>
      <c r="BP136" s="3">
        <v>1.0500000000000001E-2</v>
      </c>
      <c r="BQ136" s="3">
        <v>1.0500000000000001E-2</v>
      </c>
      <c r="BR136" s="3">
        <v>128</v>
      </c>
      <c r="BS136" s="3">
        <v>148</v>
      </c>
      <c r="BT136" s="3">
        <v>16</v>
      </c>
      <c r="BU136" s="3">
        <v>525</v>
      </c>
      <c r="BV136" s="3">
        <v>1461</v>
      </c>
      <c r="BW136" s="3">
        <v>671</v>
      </c>
      <c r="BX136" s="3">
        <v>1126</v>
      </c>
      <c r="BY136" s="3" t="s">
        <v>111</v>
      </c>
      <c r="BZ136" s="3" t="s">
        <v>153</v>
      </c>
      <c r="CA136" s="3">
        <v>0</v>
      </c>
      <c r="CB136" s="3" t="s">
        <v>111</v>
      </c>
      <c r="CC136" s="3" t="s">
        <v>111</v>
      </c>
      <c r="CD136" s="3" t="s">
        <v>2027</v>
      </c>
      <c r="CE136" s="3" t="s">
        <v>111</v>
      </c>
      <c r="CF136" s="3">
        <v>5022</v>
      </c>
      <c r="CI136" s="3">
        <f t="shared" si="11"/>
        <v>0.16800000000000001</v>
      </c>
      <c r="CN136" s="3" t="s">
        <v>3386</v>
      </c>
      <c r="CO136" s="3" t="s">
        <v>4707</v>
      </c>
    </row>
    <row r="137" spans="1:93" x14ac:dyDescent="0.2">
      <c r="A137" s="3" t="s">
        <v>3387</v>
      </c>
      <c r="C137" s="5" t="s">
        <v>4727</v>
      </c>
      <c r="D137" s="5">
        <v>28</v>
      </c>
      <c r="G137" s="3" t="s">
        <v>4707</v>
      </c>
      <c r="H137" s="3">
        <v>18067</v>
      </c>
      <c r="I137" s="14">
        <v>45159.601388888892</v>
      </c>
      <c r="J137" s="14">
        <v>45175.748611111114</v>
      </c>
      <c r="K137" s="3" t="s">
        <v>2056</v>
      </c>
      <c r="L137" s="3" t="s">
        <v>111</v>
      </c>
      <c r="M137" s="3" t="s">
        <v>111</v>
      </c>
      <c r="N137" s="3" t="s">
        <v>111</v>
      </c>
      <c r="O137" s="3" t="s">
        <v>112</v>
      </c>
      <c r="P137" s="3" t="s">
        <v>113</v>
      </c>
      <c r="Q137" s="3" t="s">
        <v>113</v>
      </c>
      <c r="R137" s="3">
        <v>0</v>
      </c>
      <c r="S137" s="3" t="s">
        <v>113</v>
      </c>
      <c r="T137" s="3">
        <v>0.8</v>
      </c>
      <c r="U137" s="3">
        <v>1</v>
      </c>
      <c r="V137" s="3">
        <v>270</v>
      </c>
      <c r="W137" s="3">
        <v>6</v>
      </c>
      <c r="X137" s="3">
        <v>8847</v>
      </c>
      <c r="Y137" s="3">
        <v>6.6900000000000001E-2</v>
      </c>
      <c r="Z137" s="3">
        <v>5.7000000000000002E-2</v>
      </c>
      <c r="AA137" s="3">
        <v>0.85229999999999995</v>
      </c>
      <c r="AB137" s="3" t="s">
        <v>113</v>
      </c>
      <c r="AC137" s="3" t="s">
        <v>4273</v>
      </c>
      <c r="AD137" s="3" t="s">
        <v>113</v>
      </c>
      <c r="AE137" s="3" t="s">
        <v>113</v>
      </c>
      <c r="AF137" s="3" t="s">
        <v>113</v>
      </c>
      <c r="AG137" s="3" t="s">
        <v>113</v>
      </c>
      <c r="AH137" s="3" t="s">
        <v>113</v>
      </c>
      <c r="AI137" s="3" t="s">
        <v>113</v>
      </c>
      <c r="AJ137" s="3">
        <v>792.76229999999998</v>
      </c>
      <c r="AK137" s="3" t="s">
        <v>4274</v>
      </c>
      <c r="AL137" s="3" t="s">
        <v>113</v>
      </c>
      <c r="AM137" s="3" t="s">
        <v>113</v>
      </c>
      <c r="AN137" s="3" t="s">
        <v>113</v>
      </c>
      <c r="AO137" s="3" t="s">
        <v>131</v>
      </c>
      <c r="AP137" s="3" t="s">
        <v>3666</v>
      </c>
      <c r="AQ137" s="3" t="s">
        <v>3453</v>
      </c>
      <c r="AR137" s="3" t="s">
        <v>4073</v>
      </c>
      <c r="AS137" s="3" t="s">
        <v>4275</v>
      </c>
      <c r="AT137" s="3" t="s">
        <v>4276</v>
      </c>
      <c r="AU137" s="3" t="s">
        <v>4277</v>
      </c>
      <c r="AV137" s="7">
        <v>0.104</v>
      </c>
      <c r="AW137" s="10">
        <f t="shared" si="10"/>
        <v>0.11799999999999999</v>
      </c>
      <c r="AY137" s="3" t="s">
        <v>3387</v>
      </c>
      <c r="BA137" s="3" t="s">
        <v>3723</v>
      </c>
      <c r="BB137" s="3" t="s">
        <v>4279</v>
      </c>
      <c r="BC137" s="3" t="s">
        <v>4158</v>
      </c>
      <c r="BD137" s="3" t="s">
        <v>4260</v>
      </c>
      <c r="BE137" s="3" t="s">
        <v>3766</v>
      </c>
      <c r="BF137" s="3" t="s">
        <v>3566</v>
      </c>
      <c r="BG137" s="3" t="s">
        <v>3433</v>
      </c>
      <c r="BH137" s="3" t="s">
        <v>4158</v>
      </c>
      <c r="BI137" s="3" t="s">
        <v>4266</v>
      </c>
      <c r="BJ137" s="3" t="s">
        <v>3955</v>
      </c>
      <c r="BK137" s="3" t="s">
        <v>3474</v>
      </c>
      <c r="BL137" s="3" t="s">
        <v>4280</v>
      </c>
      <c r="BM137" s="3" t="s">
        <v>4281</v>
      </c>
      <c r="BN137" s="3" t="s">
        <v>3474</v>
      </c>
      <c r="BO137" s="3">
        <v>1.0500000000000001E-2</v>
      </c>
      <c r="BP137" s="3">
        <v>1.0500000000000001E-2</v>
      </c>
      <c r="BQ137" s="3">
        <v>1.0500000000000001E-2</v>
      </c>
      <c r="BR137" s="3">
        <v>144</v>
      </c>
      <c r="BS137" s="3">
        <v>136</v>
      </c>
      <c r="BT137" s="3">
        <v>11</v>
      </c>
      <c r="BU137" s="3">
        <v>318</v>
      </c>
      <c r="BV137" s="3">
        <v>1362</v>
      </c>
      <c r="BW137" s="3">
        <v>334</v>
      </c>
      <c r="BX137" s="3">
        <v>870</v>
      </c>
      <c r="BY137" s="3" t="s">
        <v>111</v>
      </c>
      <c r="BZ137" s="3" t="s">
        <v>153</v>
      </c>
      <c r="CA137" s="3">
        <v>0</v>
      </c>
      <c r="CB137" s="3" t="s">
        <v>111</v>
      </c>
      <c r="CC137" s="3" t="s">
        <v>111</v>
      </c>
      <c r="CD137" s="3" t="s">
        <v>2085</v>
      </c>
      <c r="CE137" s="3" t="s">
        <v>111</v>
      </c>
      <c r="CF137" s="3">
        <v>5022</v>
      </c>
      <c r="CI137" s="3">
        <f t="shared" si="11"/>
        <v>0.11550000000000001</v>
      </c>
      <c r="CN137" s="3" t="s">
        <v>3387</v>
      </c>
      <c r="CO137" s="3" t="s">
        <v>4707</v>
      </c>
    </row>
    <row r="138" spans="1:93" x14ac:dyDescent="0.2">
      <c r="A138" s="3" t="s">
        <v>3388</v>
      </c>
      <c r="C138" s="5" t="s">
        <v>4727</v>
      </c>
      <c r="D138" s="5">
        <v>28</v>
      </c>
      <c r="G138" s="3" t="s">
        <v>4707</v>
      </c>
      <c r="H138" s="3">
        <v>18068</v>
      </c>
      <c r="I138" s="14">
        <v>45159.618750000001</v>
      </c>
      <c r="J138" s="14">
        <v>45175.759722222225</v>
      </c>
      <c r="K138" s="3" t="s">
        <v>2112</v>
      </c>
      <c r="L138" s="3" t="s">
        <v>111</v>
      </c>
      <c r="M138" s="3" t="s">
        <v>111</v>
      </c>
      <c r="N138" s="3" t="s">
        <v>111</v>
      </c>
      <c r="O138" s="3" t="s">
        <v>112</v>
      </c>
      <c r="P138" s="3" t="s">
        <v>113</v>
      </c>
      <c r="Q138" s="3" t="s">
        <v>113</v>
      </c>
      <c r="R138" s="3">
        <v>0</v>
      </c>
      <c r="S138" s="3" t="s">
        <v>113</v>
      </c>
      <c r="T138" s="3">
        <v>0.8</v>
      </c>
      <c r="U138" s="3">
        <v>1</v>
      </c>
      <c r="V138" s="3">
        <v>270</v>
      </c>
      <c r="W138" s="3">
        <v>6</v>
      </c>
      <c r="X138" s="3">
        <v>8847</v>
      </c>
      <c r="Y138" s="3">
        <v>3.5200000000000002E-2</v>
      </c>
      <c r="Z138" s="3">
        <v>2.9000000000000001E-2</v>
      </c>
      <c r="AA138" s="3">
        <v>0.82299999999999995</v>
      </c>
      <c r="AB138" s="3" t="s">
        <v>113</v>
      </c>
      <c r="AC138" s="3" t="s">
        <v>4291</v>
      </c>
      <c r="AD138" s="3" t="s">
        <v>113</v>
      </c>
      <c r="AE138" s="3" t="s">
        <v>113</v>
      </c>
      <c r="AF138" s="3" t="s">
        <v>113</v>
      </c>
      <c r="AG138" s="3" t="s">
        <v>113</v>
      </c>
      <c r="AH138" s="3" t="s">
        <v>113</v>
      </c>
      <c r="AI138" s="3" t="s">
        <v>113</v>
      </c>
      <c r="AJ138" s="3">
        <v>726.83519999999999</v>
      </c>
      <c r="AK138" s="3" t="s">
        <v>4292</v>
      </c>
      <c r="AL138" s="3" t="s">
        <v>113</v>
      </c>
      <c r="AM138" s="3" t="s">
        <v>113</v>
      </c>
      <c r="AN138" s="3" t="s">
        <v>113</v>
      </c>
      <c r="AO138" s="3" t="s">
        <v>131</v>
      </c>
      <c r="AP138" s="3" t="s">
        <v>3563</v>
      </c>
      <c r="AQ138" s="3" t="s">
        <v>3979</v>
      </c>
      <c r="AR138" s="3" t="s">
        <v>3656</v>
      </c>
      <c r="AS138" s="3" t="s">
        <v>4293</v>
      </c>
      <c r="AT138" s="3" t="s">
        <v>4294</v>
      </c>
      <c r="AU138" s="3" t="s">
        <v>4295</v>
      </c>
      <c r="AV138" s="7">
        <v>8.4000000000000005E-2</v>
      </c>
      <c r="AW138" s="10">
        <f t="shared" si="10"/>
        <v>0.11000000000000001</v>
      </c>
      <c r="AY138" s="3" t="s">
        <v>3388</v>
      </c>
      <c r="BA138" s="3" t="s">
        <v>3992</v>
      </c>
      <c r="BB138" s="3" t="s">
        <v>4296</v>
      </c>
      <c r="BC138" s="3" t="s">
        <v>3953</v>
      </c>
      <c r="BD138" s="3" t="s">
        <v>3875</v>
      </c>
      <c r="BE138" s="3" t="s">
        <v>3939</v>
      </c>
      <c r="BF138" s="3" t="s">
        <v>3566</v>
      </c>
      <c r="BG138" s="3" t="s">
        <v>3566</v>
      </c>
      <c r="BH138" s="3" t="s">
        <v>3953</v>
      </c>
      <c r="BI138" s="3" t="s">
        <v>3608</v>
      </c>
      <c r="BJ138" s="3" t="s">
        <v>4297</v>
      </c>
      <c r="BK138" s="3" t="s">
        <v>3492</v>
      </c>
      <c r="BL138" s="3" t="s">
        <v>4281</v>
      </c>
      <c r="BM138" s="3" t="s">
        <v>4035</v>
      </c>
      <c r="BN138" s="3" t="s">
        <v>3433</v>
      </c>
      <c r="BO138" s="3">
        <v>1.0500000000000001E-2</v>
      </c>
      <c r="BP138" s="3">
        <v>1.0500000000000001E-2</v>
      </c>
      <c r="BQ138" s="3">
        <v>1.0500000000000001E-2</v>
      </c>
      <c r="BR138" s="3">
        <v>132</v>
      </c>
      <c r="BS138" s="3">
        <v>108</v>
      </c>
      <c r="BT138" s="3">
        <v>6</v>
      </c>
      <c r="BU138" s="3">
        <v>292</v>
      </c>
      <c r="BV138" s="3">
        <v>1150</v>
      </c>
      <c r="BW138" s="3">
        <v>593</v>
      </c>
      <c r="BX138" s="3">
        <v>1126</v>
      </c>
      <c r="BY138" s="3" t="s">
        <v>111</v>
      </c>
      <c r="BZ138" s="3" t="s">
        <v>153</v>
      </c>
      <c r="CA138" s="3">
        <v>0</v>
      </c>
      <c r="CB138" s="3" t="s">
        <v>111</v>
      </c>
      <c r="CC138" s="3" t="s">
        <v>111</v>
      </c>
      <c r="CD138" s="3" t="s">
        <v>2141</v>
      </c>
      <c r="CE138" s="3" t="s">
        <v>111</v>
      </c>
      <c r="CF138" s="3">
        <v>5022</v>
      </c>
      <c r="CI138" s="3">
        <f t="shared" si="11"/>
        <v>6.3E-2</v>
      </c>
      <c r="CN138" s="3" t="s">
        <v>3388</v>
      </c>
      <c r="CO138" s="3" t="s">
        <v>4707</v>
      </c>
    </row>
    <row r="139" spans="1:93" x14ac:dyDescent="0.2">
      <c r="C139" s="5" t="s">
        <v>4727</v>
      </c>
      <c r="D139" s="5">
        <v>28</v>
      </c>
    </row>
    <row r="140" spans="1:93" x14ac:dyDescent="0.2">
      <c r="AU140" s="3" t="s">
        <v>4719</v>
      </c>
      <c r="AV140" s="7">
        <f>_xlfn.T.TEST(AV123:AV130,AV131:AV138,2,3)</f>
        <v>7.2090531797936952E-2</v>
      </c>
      <c r="AW140" s="7">
        <f>_xlfn.T.TEST(AW123:AW130,AW131:AW138,2,1)</f>
        <v>0.54420750744323199</v>
      </c>
      <c r="CI140" s="5">
        <f>_xlfn.T.TEST(CI123:CI130,CI131:CI138,2,3)</f>
        <v>0.10897989314298993</v>
      </c>
      <c r="CK140" s="3" t="s">
        <v>4714</v>
      </c>
    </row>
    <row r="142" spans="1:93" x14ac:dyDescent="0.2">
      <c r="A142" s="3" t="s">
        <v>3373</v>
      </c>
      <c r="G142" s="3" t="s">
        <v>4708</v>
      </c>
      <c r="H142" s="3">
        <v>18053</v>
      </c>
      <c r="I142" s="14">
        <v>45156.62777777778</v>
      </c>
      <c r="J142" s="14">
        <v>45169.673611111109</v>
      </c>
      <c r="K142" s="3" t="s">
        <v>1255</v>
      </c>
      <c r="L142" s="3" t="s">
        <v>111</v>
      </c>
      <c r="M142" s="3" t="s">
        <v>111</v>
      </c>
      <c r="N142" s="3" t="s">
        <v>111</v>
      </c>
      <c r="O142" s="3" t="s">
        <v>112</v>
      </c>
      <c r="P142" s="3" t="s">
        <v>113</v>
      </c>
      <c r="Q142" s="3" t="s">
        <v>113</v>
      </c>
      <c r="R142" s="3">
        <v>0</v>
      </c>
      <c r="S142" s="3" t="s">
        <v>113</v>
      </c>
      <c r="T142" s="3">
        <v>0.8</v>
      </c>
      <c r="U142" s="3">
        <v>1</v>
      </c>
      <c r="V142" s="3">
        <v>270</v>
      </c>
      <c r="W142" s="3">
        <v>6</v>
      </c>
      <c r="X142" s="3">
        <v>8847</v>
      </c>
      <c r="Y142" s="3">
        <v>5.2200000000000003E-2</v>
      </c>
      <c r="Z142" s="3">
        <v>4.2900000000000001E-2</v>
      </c>
      <c r="AA142" s="3">
        <v>0.82040000000000002</v>
      </c>
      <c r="AB142" s="3" t="s">
        <v>113</v>
      </c>
      <c r="AC142" s="3" t="s">
        <v>3981</v>
      </c>
      <c r="AD142" s="3" t="s">
        <v>113</v>
      </c>
      <c r="AE142" s="3" t="s">
        <v>113</v>
      </c>
      <c r="AF142" s="3" t="s">
        <v>113</v>
      </c>
      <c r="AG142" s="3" t="s">
        <v>113</v>
      </c>
      <c r="AH142" s="3" t="s">
        <v>113</v>
      </c>
      <c r="AI142" s="3" t="s">
        <v>113</v>
      </c>
      <c r="AJ142" s="3">
        <v>725.89030000000002</v>
      </c>
      <c r="AK142" s="3" t="s">
        <v>3982</v>
      </c>
      <c r="AL142" s="3" t="s">
        <v>113</v>
      </c>
      <c r="AM142" s="3" t="s">
        <v>113</v>
      </c>
      <c r="AN142" s="3" t="s">
        <v>113</v>
      </c>
      <c r="AO142" s="3" t="s">
        <v>131</v>
      </c>
      <c r="AP142" s="3" t="s">
        <v>3983</v>
      </c>
      <c r="AQ142" s="3" t="s">
        <v>3984</v>
      </c>
      <c r="AR142" s="3" t="s">
        <v>3985</v>
      </c>
      <c r="AS142" s="3" t="s">
        <v>3986</v>
      </c>
      <c r="AT142" s="3" t="s">
        <v>3987</v>
      </c>
      <c r="AU142" s="3" t="s">
        <v>3988</v>
      </c>
      <c r="AV142" s="7">
        <v>9.0999999999999998E-2</v>
      </c>
      <c r="AY142" s="3" t="s">
        <v>3373</v>
      </c>
      <c r="BA142" s="3" t="s">
        <v>3990</v>
      </c>
      <c r="BB142" s="3" t="s">
        <v>3991</v>
      </c>
      <c r="BC142" s="3" t="s">
        <v>3907</v>
      </c>
      <c r="BD142" s="3" t="s">
        <v>3784</v>
      </c>
      <c r="BE142" s="3" t="s">
        <v>3992</v>
      </c>
      <c r="BF142" s="3" t="s">
        <v>3429</v>
      </c>
      <c r="BG142" s="3" t="s">
        <v>3471</v>
      </c>
      <c r="BH142" s="3" t="s">
        <v>3993</v>
      </c>
      <c r="BI142" s="3" t="s">
        <v>3994</v>
      </c>
      <c r="BJ142" s="3" t="s">
        <v>3995</v>
      </c>
      <c r="BK142" s="3" t="s">
        <v>3515</v>
      </c>
      <c r="BL142" s="3" t="s">
        <v>3623</v>
      </c>
      <c r="BM142" s="3" t="s">
        <v>3996</v>
      </c>
      <c r="BN142" s="3" t="s">
        <v>3997</v>
      </c>
      <c r="BO142" s="3">
        <v>1.0500000000000001E-2</v>
      </c>
      <c r="BP142" s="3">
        <v>1.0500000000000001E-2</v>
      </c>
      <c r="BQ142" s="3">
        <v>1.0500000000000001E-2</v>
      </c>
      <c r="BR142" s="3">
        <v>112</v>
      </c>
      <c r="BS142" s="3">
        <v>124</v>
      </c>
      <c r="BT142" s="3">
        <v>14</v>
      </c>
      <c r="BU142" s="3">
        <v>306</v>
      </c>
      <c r="BV142" s="3">
        <v>893</v>
      </c>
      <c r="BW142" s="3">
        <v>410</v>
      </c>
      <c r="BX142" s="3">
        <v>1060</v>
      </c>
      <c r="BY142" s="3" t="s">
        <v>111</v>
      </c>
      <c r="BZ142" s="3" t="s">
        <v>153</v>
      </c>
      <c r="CA142" s="3">
        <v>0</v>
      </c>
      <c r="CB142" s="3" t="s">
        <v>111</v>
      </c>
      <c r="CC142" s="3" t="s">
        <v>111</v>
      </c>
      <c r="CD142" s="3" t="s">
        <v>1282</v>
      </c>
      <c r="CE142" s="3" t="s">
        <v>111</v>
      </c>
      <c r="CF142" s="3">
        <v>5022</v>
      </c>
      <c r="CI142" s="3">
        <f t="shared" ref="CI142:CI153" si="12">BQ142*BT142</f>
        <v>0.14700000000000002</v>
      </c>
      <c r="CN142" s="3" t="s">
        <v>3373</v>
      </c>
      <c r="CO142" s="3" t="s">
        <v>4708</v>
      </c>
    </row>
    <row r="143" spans="1:93" ht="16" x14ac:dyDescent="0.2">
      <c r="A143" s="3" t="s">
        <v>3374</v>
      </c>
      <c r="C143" s="4" t="s">
        <v>4728</v>
      </c>
      <c r="D143" s="4" t="s">
        <v>4729</v>
      </c>
      <c r="G143" s="3" t="s">
        <v>4708</v>
      </c>
      <c r="H143" s="3">
        <v>18054</v>
      </c>
      <c r="I143" s="14">
        <v>45156.64166666667</v>
      </c>
      <c r="J143" s="14">
        <v>45169.684027777781</v>
      </c>
      <c r="K143" s="3" t="s">
        <v>1311</v>
      </c>
      <c r="L143" s="3" t="s">
        <v>111</v>
      </c>
      <c r="M143" s="3" t="s">
        <v>111</v>
      </c>
      <c r="N143" s="3" t="s">
        <v>111</v>
      </c>
      <c r="O143" s="3" t="s">
        <v>112</v>
      </c>
      <c r="P143" s="3" t="s">
        <v>113</v>
      </c>
      <c r="Q143" s="3" t="s">
        <v>113</v>
      </c>
      <c r="R143" s="3">
        <v>0</v>
      </c>
      <c r="S143" s="3" t="s">
        <v>113</v>
      </c>
      <c r="T143" s="3">
        <v>0.8</v>
      </c>
      <c r="U143" s="3">
        <v>1</v>
      </c>
      <c r="V143" s="3">
        <v>270</v>
      </c>
      <c r="W143" s="3">
        <v>6</v>
      </c>
      <c r="X143" s="3">
        <v>8847</v>
      </c>
      <c r="Y143" s="3">
        <v>8.1600000000000006E-2</v>
      </c>
      <c r="Z143" s="3">
        <v>6.9400000000000003E-2</v>
      </c>
      <c r="AA143" s="3">
        <v>0.84960000000000002</v>
      </c>
      <c r="AB143" s="3" t="s">
        <v>113</v>
      </c>
      <c r="AC143" s="3" t="s">
        <v>4011</v>
      </c>
      <c r="AD143" s="3" t="s">
        <v>113</v>
      </c>
      <c r="AE143" s="3" t="s">
        <v>113</v>
      </c>
      <c r="AF143" s="3" t="s">
        <v>113</v>
      </c>
      <c r="AG143" s="3" t="s">
        <v>113</v>
      </c>
      <c r="AH143" s="3" t="s">
        <v>113</v>
      </c>
      <c r="AI143" s="3" t="s">
        <v>113</v>
      </c>
      <c r="AJ143" s="3">
        <v>795.30629999999996</v>
      </c>
      <c r="AK143" s="3" t="s">
        <v>4012</v>
      </c>
      <c r="AL143" s="3" t="s">
        <v>113</v>
      </c>
      <c r="AM143" s="3" t="s">
        <v>113</v>
      </c>
      <c r="AN143" s="3" t="s">
        <v>113</v>
      </c>
      <c r="AO143" s="3" t="s">
        <v>131</v>
      </c>
      <c r="AP143" s="3" t="s">
        <v>3741</v>
      </c>
      <c r="AQ143" s="3" t="s">
        <v>3945</v>
      </c>
      <c r="AR143" s="3" t="s">
        <v>3724</v>
      </c>
      <c r="AS143" s="3" t="s">
        <v>4013</v>
      </c>
      <c r="AT143" s="3" t="s">
        <v>4014</v>
      </c>
      <c r="AU143" s="3" t="s">
        <v>4015</v>
      </c>
      <c r="AV143" s="7">
        <v>0.111</v>
      </c>
      <c r="AY143" s="3" t="s">
        <v>3374</v>
      </c>
      <c r="BA143" s="3" t="s">
        <v>4016</v>
      </c>
      <c r="BB143" s="3" t="s">
        <v>4017</v>
      </c>
      <c r="BC143" s="3" t="s">
        <v>4018</v>
      </c>
      <c r="BD143" s="3" t="s">
        <v>4019</v>
      </c>
      <c r="BE143" s="3" t="s">
        <v>3766</v>
      </c>
      <c r="BF143" s="3" t="s">
        <v>3492</v>
      </c>
      <c r="BG143" s="3" t="s">
        <v>3433</v>
      </c>
      <c r="BH143" s="3" t="s">
        <v>4018</v>
      </c>
      <c r="BI143" s="3" t="s">
        <v>3925</v>
      </c>
      <c r="BJ143" s="3" t="s">
        <v>4020</v>
      </c>
      <c r="BK143" s="3" t="s">
        <v>3707</v>
      </c>
      <c r="BL143" s="3" t="s">
        <v>3552</v>
      </c>
      <c r="BM143" s="3" t="s">
        <v>4021</v>
      </c>
      <c r="BN143" s="3" t="s">
        <v>3477</v>
      </c>
      <c r="BO143" s="3">
        <v>1.0500000000000001E-2</v>
      </c>
      <c r="BP143" s="3">
        <v>1.0500000000000001E-2</v>
      </c>
      <c r="BQ143" s="3">
        <v>1.0500000000000001E-2</v>
      </c>
      <c r="BR143" s="3">
        <v>120</v>
      </c>
      <c r="BS143" s="3">
        <v>140</v>
      </c>
      <c r="BT143" s="3">
        <v>17</v>
      </c>
      <c r="BU143" s="3">
        <v>333</v>
      </c>
      <c r="BV143" s="3">
        <v>638</v>
      </c>
      <c r="BW143" s="3">
        <v>637</v>
      </c>
      <c r="BX143" s="3">
        <v>1126</v>
      </c>
      <c r="BY143" s="3" t="s">
        <v>111</v>
      </c>
      <c r="BZ143" s="3" t="s">
        <v>153</v>
      </c>
      <c r="CA143" s="3">
        <v>0</v>
      </c>
      <c r="CB143" s="3" t="s">
        <v>111</v>
      </c>
      <c r="CC143" s="3" t="s">
        <v>111</v>
      </c>
      <c r="CD143" s="3" t="s">
        <v>1342</v>
      </c>
      <c r="CE143" s="3" t="s">
        <v>111</v>
      </c>
      <c r="CF143" s="3">
        <v>5022</v>
      </c>
      <c r="CI143" s="3">
        <f t="shared" si="12"/>
        <v>0.17850000000000002</v>
      </c>
      <c r="CN143" s="3" t="s">
        <v>3374</v>
      </c>
      <c r="CO143" s="3" t="s">
        <v>4708</v>
      </c>
    </row>
    <row r="144" spans="1:93" x14ac:dyDescent="0.2">
      <c r="A144" s="3" t="s">
        <v>3375</v>
      </c>
      <c r="C144" s="5" t="s">
        <v>4727</v>
      </c>
      <c r="D144" s="5">
        <v>5</v>
      </c>
      <c r="G144" s="3" t="s">
        <v>4708</v>
      </c>
      <c r="H144" s="3">
        <v>18055</v>
      </c>
      <c r="I144" s="14">
        <v>45156.656944444447</v>
      </c>
      <c r="J144" s="14">
        <v>45169.693749999999</v>
      </c>
      <c r="K144" s="3" t="s">
        <v>1369</v>
      </c>
      <c r="L144" s="3" t="s">
        <v>111</v>
      </c>
      <c r="M144" s="3" t="s">
        <v>111</v>
      </c>
      <c r="N144" s="3" t="s">
        <v>111</v>
      </c>
      <c r="O144" s="3" t="s">
        <v>112</v>
      </c>
      <c r="P144" s="3" t="s">
        <v>113</v>
      </c>
      <c r="Q144" s="3" t="s">
        <v>113</v>
      </c>
      <c r="R144" s="3">
        <v>0</v>
      </c>
      <c r="S144" s="3" t="s">
        <v>113</v>
      </c>
      <c r="T144" s="3">
        <v>0.8</v>
      </c>
      <c r="U144" s="3">
        <v>1</v>
      </c>
      <c r="V144" s="3">
        <v>270</v>
      </c>
      <c r="W144" s="3">
        <v>6</v>
      </c>
      <c r="X144" s="3">
        <v>8847</v>
      </c>
      <c r="Y144" s="3">
        <v>6.2300000000000001E-2</v>
      </c>
      <c r="Z144" s="3">
        <v>4.1799999999999997E-2</v>
      </c>
      <c r="AA144" s="3">
        <v>0.67130000000000001</v>
      </c>
      <c r="AB144" s="3" t="s">
        <v>113</v>
      </c>
      <c r="AC144" s="3" t="s">
        <v>4032</v>
      </c>
      <c r="AD144" s="3" t="s">
        <v>113</v>
      </c>
      <c r="AE144" s="3" t="s">
        <v>113</v>
      </c>
      <c r="AF144" s="3" t="s">
        <v>113</v>
      </c>
      <c r="AG144" s="3" t="s">
        <v>113</v>
      </c>
      <c r="AH144" s="3" t="s">
        <v>113</v>
      </c>
      <c r="AI144" s="3" t="s">
        <v>113</v>
      </c>
      <c r="AJ144" s="3">
        <v>636.12180000000001</v>
      </c>
      <c r="AK144" s="3" t="s">
        <v>4033</v>
      </c>
      <c r="AL144" s="3" t="s">
        <v>113</v>
      </c>
      <c r="AM144" s="3" t="s">
        <v>113</v>
      </c>
      <c r="AN144" s="3" t="s">
        <v>113</v>
      </c>
      <c r="AO144" s="3" t="s">
        <v>131</v>
      </c>
      <c r="AP144" s="3" t="s">
        <v>3616</v>
      </c>
      <c r="AQ144" s="3" t="s">
        <v>4034</v>
      </c>
      <c r="AR144" s="3" t="s">
        <v>4035</v>
      </c>
      <c r="AS144" s="3" t="s">
        <v>4036</v>
      </c>
      <c r="AT144" s="3" t="s">
        <v>4037</v>
      </c>
      <c r="AU144" s="3" t="s">
        <v>4038</v>
      </c>
      <c r="AV144" s="7">
        <v>8.5000000000000006E-2</v>
      </c>
      <c r="AY144" s="3" t="s">
        <v>3375</v>
      </c>
      <c r="BA144" s="3" t="s">
        <v>4039</v>
      </c>
      <c r="BB144" s="3" t="s">
        <v>4040</v>
      </c>
      <c r="BC144" s="3" t="s">
        <v>3460</v>
      </c>
      <c r="BD144" s="3" t="s">
        <v>3736</v>
      </c>
      <c r="BE144" s="3" t="s">
        <v>4041</v>
      </c>
      <c r="BF144" s="3" t="s">
        <v>3430</v>
      </c>
      <c r="BG144" s="3" t="s">
        <v>3566</v>
      </c>
      <c r="BH144" s="3" t="s">
        <v>3460</v>
      </c>
      <c r="BI144" s="3" t="s">
        <v>3426</v>
      </c>
      <c r="BJ144" s="3" t="s">
        <v>3726</v>
      </c>
      <c r="BK144" s="3" t="s">
        <v>3584</v>
      </c>
      <c r="BL144" s="3" t="s">
        <v>3799</v>
      </c>
      <c r="BM144" s="3" t="s">
        <v>3945</v>
      </c>
      <c r="BN144" s="3" t="s">
        <v>3903</v>
      </c>
      <c r="BO144" s="3">
        <v>1.0500000000000001E-2</v>
      </c>
      <c r="BP144" s="3">
        <v>1.0500000000000001E-2</v>
      </c>
      <c r="BQ144" s="3">
        <v>1.0500000000000001E-2</v>
      </c>
      <c r="BR144" s="3">
        <v>128</v>
      </c>
      <c r="BS144" s="3">
        <v>116</v>
      </c>
      <c r="BT144" s="3">
        <v>14</v>
      </c>
      <c r="BU144" s="3">
        <v>529</v>
      </c>
      <c r="BV144" s="3">
        <v>537</v>
      </c>
      <c r="BW144" s="3">
        <v>504</v>
      </c>
      <c r="BX144" s="3">
        <v>1070</v>
      </c>
      <c r="BY144" s="3" t="s">
        <v>111</v>
      </c>
      <c r="BZ144" s="3" t="s">
        <v>153</v>
      </c>
      <c r="CA144" s="3">
        <v>0</v>
      </c>
      <c r="CB144" s="3" t="s">
        <v>111</v>
      </c>
      <c r="CC144" s="3" t="s">
        <v>111</v>
      </c>
      <c r="CD144" s="3" t="s">
        <v>1397</v>
      </c>
      <c r="CE144" s="3" t="s">
        <v>111</v>
      </c>
      <c r="CF144" s="3">
        <v>5022</v>
      </c>
      <c r="CI144" s="3">
        <f t="shared" si="12"/>
        <v>0.14700000000000002</v>
      </c>
      <c r="CN144" s="3" t="s">
        <v>3375</v>
      </c>
      <c r="CO144" s="3" t="s">
        <v>4708</v>
      </c>
    </row>
    <row r="145" spans="1:93" x14ac:dyDescent="0.2">
      <c r="A145" s="3" t="s">
        <v>3376</v>
      </c>
      <c r="C145" s="5" t="s">
        <v>4727</v>
      </c>
      <c r="D145" s="5">
        <v>5</v>
      </c>
      <c r="G145" s="3" t="s">
        <v>4708</v>
      </c>
      <c r="H145" s="3">
        <v>18056</v>
      </c>
      <c r="I145" s="14">
        <v>45156.664583333331</v>
      </c>
      <c r="J145" s="14">
        <v>45169.703472222223</v>
      </c>
      <c r="K145" s="3" t="s">
        <v>1427</v>
      </c>
      <c r="L145" s="3" t="s">
        <v>111</v>
      </c>
      <c r="M145" s="3" t="s">
        <v>111</v>
      </c>
      <c r="N145" s="3" t="s">
        <v>111</v>
      </c>
      <c r="O145" s="3" t="s">
        <v>112</v>
      </c>
      <c r="P145" s="3" t="s">
        <v>113</v>
      </c>
      <c r="Q145" s="3" t="s">
        <v>113</v>
      </c>
      <c r="R145" s="3">
        <v>0</v>
      </c>
      <c r="S145" s="3" t="s">
        <v>113</v>
      </c>
      <c r="T145" s="3">
        <v>0.8</v>
      </c>
      <c r="U145" s="3">
        <v>1</v>
      </c>
      <c r="V145" s="3">
        <v>270</v>
      </c>
      <c r="W145" s="3">
        <v>6</v>
      </c>
      <c r="X145" s="3">
        <v>8847</v>
      </c>
      <c r="Y145" s="3">
        <v>8.7599999999999997E-2</v>
      </c>
      <c r="Z145" s="3">
        <v>6.6699999999999995E-2</v>
      </c>
      <c r="AA145" s="3">
        <v>0.76129999999999998</v>
      </c>
      <c r="AB145" s="3" t="s">
        <v>113</v>
      </c>
      <c r="AC145" s="3" t="s">
        <v>4053</v>
      </c>
      <c r="AD145" s="3" t="s">
        <v>113</v>
      </c>
      <c r="AE145" s="3" t="s">
        <v>113</v>
      </c>
      <c r="AF145" s="3" t="s">
        <v>113</v>
      </c>
      <c r="AG145" s="3" t="s">
        <v>113</v>
      </c>
      <c r="AH145" s="3" t="s">
        <v>113</v>
      </c>
      <c r="AI145" s="3" t="s">
        <v>113</v>
      </c>
      <c r="AJ145" s="3">
        <v>710.40790000000004</v>
      </c>
      <c r="AK145" s="3" t="s">
        <v>4054</v>
      </c>
      <c r="AL145" s="3" t="s">
        <v>113</v>
      </c>
      <c r="AM145" s="3" t="s">
        <v>113</v>
      </c>
      <c r="AN145" s="3" t="s">
        <v>113</v>
      </c>
      <c r="AO145" s="3" t="s">
        <v>131</v>
      </c>
      <c r="AP145" s="3" t="s">
        <v>3427</v>
      </c>
      <c r="AQ145" s="3" t="s">
        <v>3481</v>
      </c>
      <c r="AR145" s="3" t="s">
        <v>3526</v>
      </c>
      <c r="AS145" s="3" t="s">
        <v>4055</v>
      </c>
      <c r="AT145" s="3" t="s">
        <v>4056</v>
      </c>
      <c r="AU145" s="3" t="s">
        <v>4057</v>
      </c>
      <c r="AV145" s="7">
        <v>0.111</v>
      </c>
      <c r="AY145" s="3" t="s">
        <v>3376</v>
      </c>
      <c r="BA145" s="3" t="s">
        <v>4058</v>
      </c>
      <c r="BB145" s="3" t="s">
        <v>4059</v>
      </c>
      <c r="BC145" s="3" t="s">
        <v>3889</v>
      </c>
      <c r="BD145" s="3" t="s">
        <v>3871</v>
      </c>
      <c r="BE145" s="3" t="s">
        <v>4060</v>
      </c>
      <c r="BF145" s="3" t="s">
        <v>3497</v>
      </c>
      <c r="BG145" s="3" t="s">
        <v>3429</v>
      </c>
      <c r="BH145" s="3" t="s">
        <v>3889</v>
      </c>
      <c r="BI145" s="3" t="s">
        <v>3633</v>
      </c>
      <c r="BJ145" s="3" t="s">
        <v>4061</v>
      </c>
      <c r="BK145" s="3" t="s">
        <v>3532</v>
      </c>
      <c r="BL145" s="3" t="s">
        <v>4062</v>
      </c>
      <c r="BM145" s="3" t="s">
        <v>3697</v>
      </c>
      <c r="BN145" s="3" t="s">
        <v>3429</v>
      </c>
      <c r="BO145" s="3">
        <v>1.0500000000000001E-2</v>
      </c>
      <c r="BP145" s="3">
        <v>1.0500000000000001E-2</v>
      </c>
      <c r="BQ145" s="3">
        <v>1.0500000000000001E-2</v>
      </c>
      <c r="BR145" s="3">
        <v>152</v>
      </c>
      <c r="BS145" s="3">
        <v>144</v>
      </c>
      <c r="BT145" s="3">
        <v>17</v>
      </c>
      <c r="BU145" s="3">
        <v>582</v>
      </c>
      <c r="BV145" s="3">
        <v>392</v>
      </c>
      <c r="BW145" s="3">
        <v>573</v>
      </c>
      <c r="BX145" s="3">
        <v>1126</v>
      </c>
      <c r="BY145" s="3" t="s">
        <v>111</v>
      </c>
      <c r="BZ145" s="3" t="s">
        <v>153</v>
      </c>
      <c r="CA145" s="3">
        <v>0</v>
      </c>
      <c r="CB145" s="3" t="s">
        <v>111</v>
      </c>
      <c r="CC145" s="3" t="s">
        <v>111</v>
      </c>
      <c r="CD145" s="3" t="s">
        <v>1457</v>
      </c>
      <c r="CE145" s="3" t="s">
        <v>111</v>
      </c>
      <c r="CF145" s="3">
        <v>5022</v>
      </c>
      <c r="CI145" s="3">
        <f t="shared" si="12"/>
        <v>0.17850000000000002</v>
      </c>
      <c r="CN145" s="3" t="s">
        <v>3376</v>
      </c>
      <c r="CO145" s="3" t="s">
        <v>4708</v>
      </c>
    </row>
    <row r="146" spans="1:93" x14ac:dyDescent="0.2">
      <c r="A146" s="3" t="s">
        <v>3377</v>
      </c>
      <c r="C146" s="5" t="s">
        <v>4727</v>
      </c>
      <c r="D146" s="5">
        <v>5</v>
      </c>
      <c r="G146" s="3" t="s">
        <v>4708</v>
      </c>
      <c r="H146" s="3">
        <v>18057</v>
      </c>
      <c r="I146" s="14">
        <v>45156.686805555553</v>
      </c>
      <c r="J146" s="14">
        <v>45169.720833333333</v>
      </c>
      <c r="K146" s="3" t="s">
        <v>1486</v>
      </c>
      <c r="L146" s="3" t="s">
        <v>111</v>
      </c>
      <c r="M146" s="3" t="s">
        <v>111</v>
      </c>
      <c r="N146" s="3" t="s">
        <v>111</v>
      </c>
      <c r="O146" s="3" t="s">
        <v>112</v>
      </c>
      <c r="P146" s="3" t="s">
        <v>113</v>
      </c>
      <c r="Q146" s="3" t="s">
        <v>113</v>
      </c>
      <c r="R146" s="3">
        <v>0</v>
      </c>
      <c r="S146" s="3" t="s">
        <v>113</v>
      </c>
      <c r="T146" s="3">
        <v>0.8</v>
      </c>
      <c r="U146" s="3">
        <v>1</v>
      </c>
      <c r="V146" s="3">
        <v>270</v>
      </c>
      <c r="W146" s="3">
        <v>6</v>
      </c>
      <c r="X146" s="3">
        <v>8847</v>
      </c>
      <c r="Y146" s="3">
        <v>4.5699999999999998E-2</v>
      </c>
      <c r="Z146" s="3">
        <v>4.2799999999999998E-2</v>
      </c>
      <c r="AA146" s="3">
        <v>0.93720000000000003</v>
      </c>
      <c r="AB146" s="3" t="s">
        <v>113</v>
      </c>
      <c r="AC146" s="3" t="s">
        <v>4067</v>
      </c>
      <c r="AD146" s="3" t="s">
        <v>113</v>
      </c>
      <c r="AE146" s="3" t="s">
        <v>113</v>
      </c>
      <c r="AF146" s="3" t="s">
        <v>113</v>
      </c>
      <c r="AG146" s="3" t="s">
        <v>113</v>
      </c>
      <c r="AH146" s="3" t="s">
        <v>113</v>
      </c>
      <c r="AI146" s="3" t="s">
        <v>113</v>
      </c>
      <c r="AJ146" s="3">
        <v>906.00869999999998</v>
      </c>
      <c r="AK146" s="3" t="s">
        <v>4076</v>
      </c>
      <c r="AL146" s="3" t="s">
        <v>113</v>
      </c>
      <c r="AM146" s="3" t="s">
        <v>113</v>
      </c>
      <c r="AN146" s="3" t="s">
        <v>113</v>
      </c>
      <c r="AO146" s="3" t="s">
        <v>131</v>
      </c>
      <c r="AP146" s="3" t="s">
        <v>3526</v>
      </c>
      <c r="AQ146" s="3" t="s">
        <v>3472</v>
      </c>
      <c r="AR146" s="3" t="s">
        <v>4077</v>
      </c>
      <c r="AS146" s="3" t="s">
        <v>4078</v>
      </c>
      <c r="AT146" s="3" t="s">
        <v>4079</v>
      </c>
      <c r="AU146" s="3" t="s">
        <v>4080</v>
      </c>
      <c r="AV146" s="7">
        <v>0.13200000000000001</v>
      </c>
      <c r="AY146" s="3" t="s">
        <v>3377</v>
      </c>
      <c r="BA146" s="3" t="s">
        <v>3661</v>
      </c>
      <c r="BB146" s="3" t="s">
        <v>4082</v>
      </c>
      <c r="BC146" s="3" t="s">
        <v>3448</v>
      </c>
      <c r="BD146" s="3" t="s">
        <v>3487</v>
      </c>
      <c r="BE146" s="3" t="s">
        <v>4083</v>
      </c>
      <c r="BF146" s="3" t="s">
        <v>3903</v>
      </c>
      <c r="BG146" s="3" t="s">
        <v>3532</v>
      </c>
      <c r="BH146" s="3" t="s">
        <v>3448</v>
      </c>
      <c r="BI146" s="3" t="s">
        <v>4084</v>
      </c>
      <c r="BJ146" s="3" t="s">
        <v>4085</v>
      </c>
      <c r="BK146" s="3" t="s">
        <v>3566</v>
      </c>
      <c r="BL146" s="3" t="s">
        <v>4086</v>
      </c>
      <c r="BM146" s="3" t="s">
        <v>3864</v>
      </c>
      <c r="BN146" s="3" t="s">
        <v>4087</v>
      </c>
      <c r="BO146" s="3">
        <v>1.0500000000000001E-2</v>
      </c>
      <c r="BP146" s="3">
        <v>1.0500000000000001E-2</v>
      </c>
      <c r="BQ146" s="3">
        <v>1.0500000000000001E-2</v>
      </c>
      <c r="BR146" s="3">
        <v>88</v>
      </c>
      <c r="BS146" s="3">
        <v>104</v>
      </c>
      <c r="BT146" s="3">
        <v>16</v>
      </c>
      <c r="BU146" s="3">
        <v>995</v>
      </c>
      <c r="BV146" s="3">
        <v>403</v>
      </c>
      <c r="BW146" s="3">
        <v>729</v>
      </c>
      <c r="BX146" s="3">
        <v>1126</v>
      </c>
      <c r="BY146" s="3" t="s">
        <v>111</v>
      </c>
      <c r="BZ146" s="3" t="s">
        <v>153</v>
      </c>
      <c r="CA146" s="3">
        <v>0</v>
      </c>
      <c r="CB146" s="3" t="s">
        <v>111</v>
      </c>
      <c r="CC146" s="3" t="s">
        <v>111</v>
      </c>
      <c r="CD146" s="3" t="s">
        <v>1515</v>
      </c>
      <c r="CE146" s="3" t="s">
        <v>111</v>
      </c>
      <c r="CF146" s="3">
        <v>5022</v>
      </c>
      <c r="CI146" s="3">
        <f t="shared" si="12"/>
        <v>0.16800000000000001</v>
      </c>
      <c r="CN146" s="3" t="s">
        <v>3377</v>
      </c>
      <c r="CO146" s="3" t="s">
        <v>4708</v>
      </c>
    </row>
    <row r="147" spans="1:93" x14ac:dyDescent="0.2">
      <c r="A147" s="3" t="s">
        <v>3378</v>
      </c>
      <c r="C147" s="5" t="s">
        <v>4727</v>
      </c>
      <c r="D147" s="5">
        <v>5</v>
      </c>
      <c r="G147" s="3" t="s">
        <v>4708</v>
      </c>
      <c r="H147" s="3">
        <v>18058</v>
      </c>
      <c r="I147" s="14">
        <v>45156.697222222225</v>
      </c>
      <c r="J147" s="14">
        <v>45169.73333333333</v>
      </c>
      <c r="K147" s="3" t="s">
        <v>1541</v>
      </c>
      <c r="L147" s="3" t="s">
        <v>111</v>
      </c>
      <c r="M147" s="3" t="s">
        <v>111</v>
      </c>
      <c r="N147" s="3" t="s">
        <v>111</v>
      </c>
      <c r="O147" s="3" t="s">
        <v>112</v>
      </c>
      <c r="P147" s="3" t="s">
        <v>113</v>
      </c>
      <c r="Q147" s="3" t="s">
        <v>113</v>
      </c>
      <c r="R147" s="3">
        <v>0</v>
      </c>
      <c r="S147" s="3" t="s">
        <v>113</v>
      </c>
      <c r="T147" s="3">
        <v>0.8</v>
      </c>
      <c r="U147" s="3">
        <v>1</v>
      </c>
      <c r="V147" s="3">
        <v>270</v>
      </c>
      <c r="W147" s="3">
        <v>6</v>
      </c>
      <c r="X147" s="3">
        <v>8847</v>
      </c>
      <c r="Y147" s="3">
        <v>8.2600000000000007E-2</v>
      </c>
      <c r="Z147" s="3">
        <v>5.3199999999999997E-2</v>
      </c>
      <c r="AA147" s="3">
        <v>0.64480000000000004</v>
      </c>
      <c r="AB147" s="3" t="s">
        <v>113</v>
      </c>
      <c r="AC147" s="3" t="s">
        <v>4100</v>
      </c>
      <c r="AD147" s="3" t="s">
        <v>113</v>
      </c>
      <c r="AE147" s="3" t="s">
        <v>113</v>
      </c>
      <c r="AF147" s="3" t="s">
        <v>113</v>
      </c>
      <c r="AG147" s="3" t="s">
        <v>113</v>
      </c>
      <c r="AH147" s="3" t="s">
        <v>113</v>
      </c>
      <c r="AI147" s="3" t="s">
        <v>113</v>
      </c>
      <c r="AJ147" s="3">
        <v>652.40369999999996</v>
      </c>
      <c r="AK147" s="3" t="s">
        <v>4101</v>
      </c>
      <c r="AL147" s="3" t="s">
        <v>113</v>
      </c>
      <c r="AM147" s="3" t="s">
        <v>113</v>
      </c>
      <c r="AN147" s="3" t="s">
        <v>113</v>
      </c>
      <c r="AO147" s="3" t="s">
        <v>131</v>
      </c>
      <c r="AP147" s="3" t="s">
        <v>3608</v>
      </c>
      <c r="AQ147" s="3" t="s">
        <v>4102</v>
      </c>
      <c r="AR147" s="3" t="s">
        <v>3939</v>
      </c>
      <c r="AS147" s="3" t="s">
        <v>4103</v>
      </c>
      <c r="AT147" s="3" t="s">
        <v>4104</v>
      </c>
      <c r="AU147" s="3" t="s">
        <v>4105</v>
      </c>
      <c r="AV147" s="7">
        <v>9.4E-2</v>
      </c>
      <c r="AY147" s="3" t="s">
        <v>3378</v>
      </c>
      <c r="BA147" s="3" t="s">
        <v>4048</v>
      </c>
      <c r="BB147" s="3" t="s">
        <v>4106</v>
      </c>
      <c r="BC147" s="3" t="s">
        <v>3563</v>
      </c>
      <c r="BD147" s="3" t="s">
        <v>4107</v>
      </c>
      <c r="BE147" s="3" t="s">
        <v>3508</v>
      </c>
      <c r="BF147" s="3" t="s">
        <v>3429</v>
      </c>
      <c r="BG147" s="3" t="s">
        <v>3497</v>
      </c>
      <c r="BH147" s="3" t="s">
        <v>3563</v>
      </c>
      <c r="BI147" s="3" t="s">
        <v>3888</v>
      </c>
      <c r="BJ147" s="3" t="s">
        <v>4108</v>
      </c>
      <c r="BK147" s="3" t="s">
        <v>3584</v>
      </c>
      <c r="BL147" s="3" t="s">
        <v>3664</v>
      </c>
      <c r="BM147" s="3" t="s">
        <v>4109</v>
      </c>
      <c r="BN147" s="3" t="s">
        <v>3433</v>
      </c>
      <c r="BO147" s="3">
        <v>1.0500000000000001E-2</v>
      </c>
      <c r="BP147" s="3">
        <v>1.0500000000000001E-2</v>
      </c>
      <c r="BQ147" s="3">
        <v>1.0500000000000001E-2</v>
      </c>
      <c r="BR147" s="3">
        <v>136</v>
      </c>
      <c r="BS147" s="3">
        <v>132</v>
      </c>
      <c r="BT147" s="3">
        <v>12</v>
      </c>
      <c r="BU147" s="3">
        <v>1083</v>
      </c>
      <c r="BV147" s="3">
        <v>516</v>
      </c>
      <c r="BW147" s="3">
        <v>483</v>
      </c>
      <c r="BX147" s="3">
        <v>1060</v>
      </c>
      <c r="BY147" s="3" t="s">
        <v>111</v>
      </c>
      <c r="BZ147" s="3" t="s">
        <v>153</v>
      </c>
      <c r="CA147" s="3">
        <v>0</v>
      </c>
      <c r="CB147" s="3" t="s">
        <v>111</v>
      </c>
      <c r="CC147" s="3" t="s">
        <v>111</v>
      </c>
      <c r="CD147" s="3" t="s">
        <v>1570</v>
      </c>
      <c r="CE147" s="3" t="s">
        <v>111</v>
      </c>
      <c r="CF147" s="3">
        <v>5022</v>
      </c>
      <c r="CI147" s="3">
        <f t="shared" si="12"/>
        <v>0.126</v>
      </c>
      <c r="CN147" s="3" t="s">
        <v>3378</v>
      </c>
      <c r="CO147" s="3" t="s">
        <v>4708</v>
      </c>
    </row>
    <row r="148" spans="1:93" x14ac:dyDescent="0.2">
      <c r="A148" s="3" t="s">
        <v>3379</v>
      </c>
      <c r="C148" s="5" t="s">
        <v>4727</v>
      </c>
      <c r="D148" s="5">
        <v>5</v>
      </c>
      <c r="G148" s="3" t="s">
        <v>4708</v>
      </c>
      <c r="H148" s="3">
        <v>18059</v>
      </c>
      <c r="I148" s="14">
        <v>45156.720833333333</v>
      </c>
      <c r="J148" s="14">
        <v>45169.744444444441</v>
      </c>
      <c r="K148" s="3" t="s">
        <v>1599</v>
      </c>
      <c r="L148" s="3" t="s">
        <v>111</v>
      </c>
      <c r="M148" s="3" t="s">
        <v>111</v>
      </c>
      <c r="N148" s="3" t="s">
        <v>111</v>
      </c>
      <c r="O148" s="3" t="s">
        <v>112</v>
      </c>
      <c r="P148" s="3" t="s">
        <v>113</v>
      </c>
      <c r="Q148" s="3" t="s">
        <v>113</v>
      </c>
      <c r="R148" s="3">
        <v>0</v>
      </c>
      <c r="S148" s="3" t="s">
        <v>113</v>
      </c>
      <c r="T148" s="3">
        <v>0.8</v>
      </c>
      <c r="U148" s="3">
        <v>1</v>
      </c>
      <c r="V148" s="3">
        <v>270</v>
      </c>
      <c r="W148" s="3">
        <v>6</v>
      </c>
      <c r="X148" s="3">
        <v>8847</v>
      </c>
      <c r="Y148" s="3">
        <v>5.9700000000000003E-2</v>
      </c>
      <c r="Z148" s="3">
        <v>0.04</v>
      </c>
      <c r="AA148" s="3">
        <v>0.66969999999999996</v>
      </c>
      <c r="AB148" s="3" t="s">
        <v>113</v>
      </c>
      <c r="AC148" s="3" t="s">
        <v>4120</v>
      </c>
      <c r="AD148" s="3" t="s">
        <v>113</v>
      </c>
      <c r="AE148" s="3" t="s">
        <v>113</v>
      </c>
      <c r="AF148" s="3" t="s">
        <v>113</v>
      </c>
      <c r="AG148" s="3" t="s">
        <v>113</v>
      </c>
      <c r="AH148" s="3" t="s">
        <v>113</v>
      </c>
      <c r="AI148" s="3" t="s">
        <v>113</v>
      </c>
      <c r="AJ148" s="3">
        <v>638.66579999999999</v>
      </c>
      <c r="AK148" s="3" t="s">
        <v>4121</v>
      </c>
      <c r="AL148" s="3" t="s">
        <v>113</v>
      </c>
      <c r="AM148" s="3" t="s">
        <v>113</v>
      </c>
      <c r="AN148" s="3" t="s">
        <v>113</v>
      </c>
      <c r="AO148" s="3" t="s">
        <v>131</v>
      </c>
      <c r="AP148" s="3" t="s">
        <v>3992</v>
      </c>
      <c r="AQ148" s="3" t="s">
        <v>4122</v>
      </c>
      <c r="AR148" s="3" t="s">
        <v>3996</v>
      </c>
      <c r="AS148" s="3" t="s">
        <v>4123</v>
      </c>
      <c r="AT148" s="3" t="s">
        <v>4124</v>
      </c>
      <c r="AU148" s="3" t="s">
        <v>4125</v>
      </c>
      <c r="AV148" s="7">
        <v>8.5999999999999993E-2</v>
      </c>
      <c r="AY148" s="3" t="s">
        <v>3379</v>
      </c>
      <c r="BA148" s="3" t="s">
        <v>3893</v>
      </c>
      <c r="BB148" s="3" t="s">
        <v>4126</v>
      </c>
      <c r="BC148" s="3" t="s">
        <v>3761</v>
      </c>
      <c r="BD148" s="3" t="s">
        <v>4127</v>
      </c>
      <c r="BE148" s="3" t="s">
        <v>3588</v>
      </c>
      <c r="BF148" s="3" t="s">
        <v>3433</v>
      </c>
      <c r="BG148" s="3" t="s">
        <v>3429</v>
      </c>
      <c r="BH148" s="3" t="s">
        <v>3761</v>
      </c>
      <c r="BI148" s="3" t="s">
        <v>3694</v>
      </c>
      <c r="BJ148" s="3" t="s">
        <v>4128</v>
      </c>
      <c r="BK148" s="3" t="s">
        <v>3515</v>
      </c>
      <c r="BL148" s="3" t="s">
        <v>4129</v>
      </c>
      <c r="BM148" s="3" t="s">
        <v>4130</v>
      </c>
      <c r="BN148" s="3" t="s">
        <v>3471</v>
      </c>
      <c r="BO148" s="3">
        <v>1.0500000000000001E-2</v>
      </c>
      <c r="BP148" s="3">
        <v>1.0500000000000001E-2</v>
      </c>
      <c r="BQ148" s="3">
        <v>1.0500000000000001E-2</v>
      </c>
      <c r="BR148" s="3">
        <v>132</v>
      </c>
      <c r="BS148" s="3">
        <v>128</v>
      </c>
      <c r="BT148" s="3">
        <v>11</v>
      </c>
      <c r="BU148" s="3">
        <v>1192</v>
      </c>
      <c r="BV148" s="3">
        <v>654</v>
      </c>
      <c r="BW148" s="3">
        <v>395</v>
      </c>
      <c r="BX148" s="3">
        <v>830</v>
      </c>
      <c r="BY148" s="3" t="s">
        <v>111</v>
      </c>
      <c r="BZ148" s="3" t="s">
        <v>153</v>
      </c>
      <c r="CA148" s="3">
        <v>0</v>
      </c>
      <c r="CB148" s="3" t="s">
        <v>111</v>
      </c>
      <c r="CC148" s="3" t="s">
        <v>111</v>
      </c>
      <c r="CD148" s="3" t="s">
        <v>1627</v>
      </c>
      <c r="CE148" s="3" t="s">
        <v>111</v>
      </c>
      <c r="CF148" s="3">
        <v>5022</v>
      </c>
      <c r="CI148" s="3">
        <f t="shared" si="12"/>
        <v>0.11550000000000001</v>
      </c>
      <c r="CN148" s="3" t="s">
        <v>3379</v>
      </c>
      <c r="CO148" s="3" t="s">
        <v>4708</v>
      </c>
    </row>
    <row r="149" spans="1:93" x14ac:dyDescent="0.2">
      <c r="A149" s="3" t="s">
        <v>3380</v>
      </c>
      <c r="C149" s="5" t="s">
        <v>4727</v>
      </c>
      <c r="D149" s="5">
        <v>5</v>
      </c>
      <c r="G149" s="3" t="s">
        <v>4708</v>
      </c>
      <c r="H149" s="3">
        <v>18060</v>
      </c>
      <c r="I149" s="14">
        <v>45156.752083333333</v>
      </c>
      <c r="J149" s="14">
        <v>45169.756249999999</v>
      </c>
      <c r="K149" s="3" t="s">
        <v>1653</v>
      </c>
      <c r="L149" s="3" t="s">
        <v>111</v>
      </c>
      <c r="M149" s="3" t="s">
        <v>111</v>
      </c>
      <c r="N149" s="3" t="s">
        <v>111</v>
      </c>
      <c r="O149" s="3" t="s">
        <v>112</v>
      </c>
      <c r="P149" s="3" t="s">
        <v>113</v>
      </c>
      <c r="Q149" s="3" t="s">
        <v>113</v>
      </c>
      <c r="R149" s="3">
        <v>0</v>
      </c>
      <c r="S149" s="3" t="s">
        <v>113</v>
      </c>
      <c r="T149" s="3">
        <v>0.8</v>
      </c>
      <c r="U149" s="3">
        <v>1</v>
      </c>
      <c r="V149" s="3">
        <v>270</v>
      </c>
      <c r="W149" s="3">
        <v>6</v>
      </c>
      <c r="X149" s="3">
        <v>8847</v>
      </c>
      <c r="Y149" s="3">
        <v>4.4699999999999997E-2</v>
      </c>
      <c r="Z149" s="3">
        <v>3.3500000000000002E-2</v>
      </c>
      <c r="AA149" s="3">
        <v>0.74860000000000004</v>
      </c>
      <c r="AB149" s="3" t="s">
        <v>113</v>
      </c>
      <c r="AC149" s="3" t="s">
        <v>4142</v>
      </c>
      <c r="AD149" s="3" t="s">
        <v>113</v>
      </c>
      <c r="AE149" s="3" t="s">
        <v>113</v>
      </c>
      <c r="AF149" s="3" t="s">
        <v>113</v>
      </c>
      <c r="AG149" s="3" t="s">
        <v>113</v>
      </c>
      <c r="AH149" s="3" t="s">
        <v>113</v>
      </c>
      <c r="AI149" s="3" t="s">
        <v>113</v>
      </c>
      <c r="AJ149" s="3">
        <v>699.43219999999997</v>
      </c>
      <c r="AK149" s="3" t="s">
        <v>4143</v>
      </c>
      <c r="AL149" s="3" t="s">
        <v>113</v>
      </c>
      <c r="AM149" s="3" t="s">
        <v>113</v>
      </c>
      <c r="AN149" s="3" t="s">
        <v>113</v>
      </c>
      <c r="AO149" s="3" t="s">
        <v>131</v>
      </c>
      <c r="AP149" s="3" t="s">
        <v>3608</v>
      </c>
      <c r="AQ149" s="3" t="s">
        <v>4144</v>
      </c>
      <c r="AR149" s="3" t="s">
        <v>4068</v>
      </c>
      <c r="AS149" s="3" t="s">
        <v>4145</v>
      </c>
      <c r="AT149" s="3" t="s">
        <v>4146</v>
      </c>
      <c r="AU149" s="3" t="s">
        <v>4147</v>
      </c>
      <c r="AV149" s="7">
        <v>9.9000000000000005E-2</v>
      </c>
      <c r="AY149" s="3" t="s">
        <v>3380</v>
      </c>
      <c r="BA149" s="3" t="s">
        <v>4148</v>
      </c>
      <c r="BB149" s="3" t="s">
        <v>4082</v>
      </c>
      <c r="BC149" s="3" t="s">
        <v>3468</v>
      </c>
      <c r="BD149" s="3" t="s">
        <v>3748</v>
      </c>
      <c r="BE149" s="3" t="s">
        <v>3480</v>
      </c>
      <c r="BF149" s="3" t="s">
        <v>3515</v>
      </c>
      <c r="BG149" s="3" t="s">
        <v>3497</v>
      </c>
      <c r="BH149" s="3" t="s">
        <v>3468</v>
      </c>
      <c r="BI149" s="3" t="s">
        <v>3550</v>
      </c>
      <c r="BJ149" s="3" t="s">
        <v>4149</v>
      </c>
      <c r="BK149" s="3" t="s">
        <v>3433</v>
      </c>
      <c r="BL149" s="3" t="s">
        <v>4150</v>
      </c>
      <c r="BM149" s="3" t="s">
        <v>4151</v>
      </c>
      <c r="BN149" s="3" t="s">
        <v>3495</v>
      </c>
      <c r="BO149" s="3">
        <v>1.0500000000000001E-2</v>
      </c>
      <c r="BP149" s="3">
        <v>1.0500000000000001E-2</v>
      </c>
      <c r="BQ149" s="3">
        <v>1.0500000000000001E-2</v>
      </c>
      <c r="BR149" s="3">
        <v>136</v>
      </c>
      <c r="BS149" s="3">
        <v>104</v>
      </c>
      <c r="BT149" s="3">
        <v>15</v>
      </c>
      <c r="BU149" s="3">
        <v>1354</v>
      </c>
      <c r="BV149" s="3">
        <v>778</v>
      </c>
      <c r="BW149" s="3">
        <v>435</v>
      </c>
      <c r="BX149" s="3">
        <v>1060</v>
      </c>
      <c r="BY149" s="3" t="s">
        <v>111</v>
      </c>
      <c r="BZ149" s="3" t="s">
        <v>153</v>
      </c>
      <c r="CA149" s="3">
        <v>0</v>
      </c>
      <c r="CB149" s="3" t="s">
        <v>111</v>
      </c>
      <c r="CC149" s="3" t="s">
        <v>111</v>
      </c>
      <c r="CD149" s="3" t="s">
        <v>1682</v>
      </c>
      <c r="CE149" s="3" t="s">
        <v>111</v>
      </c>
      <c r="CF149" s="3">
        <v>5022</v>
      </c>
      <c r="CI149" s="3">
        <f t="shared" si="12"/>
        <v>0.1575</v>
      </c>
      <c r="CN149" s="3" t="s">
        <v>3380</v>
      </c>
      <c r="CO149" s="3" t="s">
        <v>4708</v>
      </c>
    </row>
    <row r="150" spans="1:93" x14ac:dyDescent="0.2">
      <c r="A150" s="3" t="s">
        <v>3381</v>
      </c>
      <c r="C150" s="5" t="s">
        <v>4727</v>
      </c>
      <c r="D150" s="5">
        <v>5</v>
      </c>
      <c r="G150" s="3" t="s">
        <v>4708</v>
      </c>
      <c r="H150" s="3">
        <v>18061</v>
      </c>
      <c r="I150" s="14">
        <v>45156.773611111108</v>
      </c>
      <c r="J150" s="14">
        <v>45169.76666666667</v>
      </c>
      <c r="K150" s="3" t="s">
        <v>1711</v>
      </c>
      <c r="L150" s="3" t="s">
        <v>111</v>
      </c>
      <c r="M150" s="3" t="s">
        <v>111</v>
      </c>
      <c r="N150" s="3" t="s">
        <v>111</v>
      </c>
      <c r="O150" s="3" t="s">
        <v>112</v>
      </c>
      <c r="P150" s="3" t="s">
        <v>113</v>
      </c>
      <c r="Q150" s="3" t="s">
        <v>113</v>
      </c>
      <c r="R150" s="3">
        <v>0</v>
      </c>
      <c r="S150" s="3" t="s">
        <v>113</v>
      </c>
      <c r="T150" s="3">
        <v>0.8</v>
      </c>
      <c r="U150" s="3">
        <v>1</v>
      </c>
      <c r="V150" s="3">
        <v>270</v>
      </c>
      <c r="W150" s="3">
        <v>6</v>
      </c>
      <c r="X150" s="3">
        <v>8847</v>
      </c>
      <c r="Y150" s="3">
        <v>4.8399999999999999E-2</v>
      </c>
      <c r="Z150" s="3">
        <v>4.4499999999999998E-2</v>
      </c>
      <c r="AA150" s="3">
        <v>0.91979999999999995</v>
      </c>
      <c r="AB150" s="3" t="s">
        <v>113</v>
      </c>
      <c r="AC150" s="3" t="s">
        <v>4162</v>
      </c>
      <c r="AD150" s="3" t="s">
        <v>113</v>
      </c>
      <c r="AE150" s="3" t="s">
        <v>113</v>
      </c>
      <c r="AF150" s="3" t="s">
        <v>113</v>
      </c>
      <c r="AG150" s="3" t="s">
        <v>113</v>
      </c>
      <c r="AH150" s="3" t="s">
        <v>113</v>
      </c>
      <c r="AI150" s="3" t="s">
        <v>113</v>
      </c>
      <c r="AJ150" s="3">
        <v>797.26890000000003</v>
      </c>
      <c r="AK150" s="3" t="s">
        <v>4163</v>
      </c>
      <c r="AL150" s="3" t="s">
        <v>113</v>
      </c>
      <c r="AM150" s="3" t="s">
        <v>113</v>
      </c>
      <c r="AN150" s="3" t="s">
        <v>113</v>
      </c>
      <c r="AO150" s="3" t="s">
        <v>131</v>
      </c>
      <c r="AP150" s="3" t="s">
        <v>3470</v>
      </c>
      <c r="AQ150" s="3" t="s">
        <v>3607</v>
      </c>
      <c r="AR150" s="3" t="s">
        <v>4164</v>
      </c>
      <c r="AS150" s="3" t="s">
        <v>4165</v>
      </c>
      <c r="AT150" s="3" t="s">
        <v>4166</v>
      </c>
      <c r="AU150" s="3" t="s">
        <v>4167</v>
      </c>
      <c r="AV150" s="7">
        <v>0.13200000000000001</v>
      </c>
      <c r="AY150" s="3" t="s">
        <v>3381</v>
      </c>
      <c r="BA150" s="3" t="s">
        <v>4168</v>
      </c>
      <c r="BB150" s="3" t="s">
        <v>4169</v>
      </c>
      <c r="BC150" s="3" t="s">
        <v>3816</v>
      </c>
      <c r="BD150" s="3" t="s">
        <v>4170</v>
      </c>
      <c r="BE150" s="3" t="s">
        <v>3939</v>
      </c>
      <c r="BF150" s="3" t="s">
        <v>3451</v>
      </c>
      <c r="BG150" s="3" t="s">
        <v>3903</v>
      </c>
      <c r="BH150" s="3" t="s">
        <v>3657</v>
      </c>
      <c r="BI150" s="3" t="s">
        <v>4171</v>
      </c>
      <c r="BJ150" s="3" t="s">
        <v>4172</v>
      </c>
      <c r="BK150" s="3" t="s">
        <v>3903</v>
      </c>
      <c r="BL150" s="3" t="s">
        <v>3900</v>
      </c>
      <c r="BM150" s="3" t="s">
        <v>4173</v>
      </c>
      <c r="BN150" s="3" t="s">
        <v>3668</v>
      </c>
      <c r="BO150" s="3">
        <v>1.0500000000000001E-2</v>
      </c>
      <c r="BP150" s="3">
        <v>1.0500000000000001E-2</v>
      </c>
      <c r="BQ150" s="3">
        <v>1.0500000000000001E-2</v>
      </c>
      <c r="BR150" s="3">
        <v>132</v>
      </c>
      <c r="BS150" s="3">
        <v>132</v>
      </c>
      <c r="BT150" s="3">
        <v>13</v>
      </c>
      <c r="BU150" s="3">
        <v>1352</v>
      </c>
      <c r="BV150" s="3">
        <v>1046</v>
      </c>
      <c r="BW150" s="3">
        <v>375</v>
      </c>
      <c r="BX150" s="3">
        <v>1030</v>
      </c>
      <c r="BY150" s="3" t="s">
        <v>111</v>
      </c>
      <c r="BZ150" s="3" t="s">
        <v>153</v>
      </c>
      <c r="CA150" s="3">
        <v>0</v>
      </c>
      <c r="CB150" s="3" t="s">
        <v>111</v>
      </c>
      <c r="CC150" s="3" t="s">
        <v>111</v>
      </c>
      <c r="CD150" s="3" t="s">
        <v>1740</v>
      </c>
      <c r="CE150" s="3" t="s">
        <v>111</v>
      </c>
      <c r="CF150" s="3">
        <v>5022</v>
      </c>
      <c r="CI150" s="3">
        <f t="shared" si="12"/>
        <v>0.13650000000000001</v>
      </c>
      <c r="CJ150" s="5">
        <f>_xlfn.T.TEST(CI142:CI149,CI150:CI157,2,2)</f>
        <v>7.727659876304209E-2</v>
      </c>
      <c r="CL150" s="3"/>
      <c r="CN150" s="3" t="s">
        <v>3381</v>
      </c>
      <c r="CO150" s="3" t="s">
        <v>4708</v>
      </c>
    </row>
    <row r="151" spans="1:93" x14ac:dyDescent="0.2">
      <c r="A151" s="3" t="s">
        <v>3382</v>
      </c>
      <c r="C151" s="5" t="s">
        <v>4727</v>
      </c>
      <c r="D151" s="5">
        <v>5</v>
      </c>
      <c r="G151" s="3" t="s">
        <v>4708</v>
      </c>
      <c r="H151" s="3">
        <v>18062</v>
      </c>
      <c r="I151" s="14">
        <v>45156.795138888891</v>
      </c>
      <c r="J151" s="14">
        <v>45175.697916666664</v>
      </c>
      <c r="K151" s="3" t="s">
        <v>1772</v>
      </c>
      <c r="L151" s="3" t="s">
        <v>111</v>
      </c>
      <c r="M151" s="3" t="s">
        <v>111</v>
      </c>
      <c r="N151" s="3" t="s">
        <v>111</v>
      </c>
      <c r="O151" s="3" t="s">
        <v>112</v>
      </c>
      <c r="P151" s="3" t="s">
        <v>113</v>
      </c>
      <c r="Q151" s="3" t="s">
        <v>113</v>
      </c>
      <c r="R151" s="3">
        <v>0</v>
      </c>
      <c r="S151" s="3" t="s">
        <v>113</v>
      </c>
      <c r="T151" s="3">
        <v>0.8</v>
      </c>
      <c r="U151" s="3">
        <v>1</v>
      </c>
      <c r="V151" s="3">
        <v>270</v>
      </c>
      <c r="W151" s="3">
        <v>6</v>
      </c>
      <c r="X151" s="3">
        <v>8847</v>
      </c>
      <c r="Y151" s="3">
        <v>5.8599999999999999E-2</v>
      </c>
      <c r="Z151" s="3">
        <v>4.5999999999999999E-2</v>
      </c>
      <c r="AA151" s="3">
        <v>0.78549999999999998</v>
      </c>
      <c r="AB151" s="3" t="s">
        <v>113</v>
      </c>
      <c r="AC151" s="3" t="s">
        <v>3719</v>
      </c>
      <c r="AD151" s="3" t="s">
        <v>113</v>
      </c>
      <c r="AE151" s="3" t="s">
        <v>113</v>
      </c>
      <c r="AF151" s="3" t="s">
        <v>113</v>
      </c>
      <c r="AG151" s="3" t="s">
        <v>113</v>
      </c>
      <c r="AH151" s="3" t="s">
        <v>113</v>
      </c>
      <c r="AI151" s="3" t="s">
        <v>113</v>
      </c>
      <c r="AJ151" s="3">
        <v>688.81989999999996</v>
      </c>
      <c r="AK151" s="3" t="s">
        <v>4185</v>
      </c>
      <c r="AL151" s="3" t="s">
        <v>113</v>
      </c>
      <c r="AM151" s="3" t="s">
        <v>113</v>
      </c>
      <c r="AN151" s="3" t="s">
        <v>113</v>
      </c>
      <c r="AO151" s="3" t="s">
        <v>131</v>
      </c>
      <c r="AP151" s="3" t="s">
        <v>3423</v>
      </c>
      <c r="AQ151" s="3" t="s">
        <v>3607</v>
      </c>
      <c r="AR151" s="3" t="s">
        <v>4186</v>
      </c>
      <c r="AS151" s="3" t="s">
        <v>4187</v>
      </c>
      <c r="AT151" s="3" t="s">
        <v>4188</v>
      </c>
      <c r="AU151" s="3" t="s">
        <v>4189</v>
      </c>
      <c r="AV151" s="7">
        <v>8.5000000000000006E-2</v>
      </c>
      <c r="AY151" s="3" t="s">
        <v>3382</v>
      </c>
      <c r="BA151" s="3" t="s">
        <v>3604</v>
      </c>
      <c r="BB151" s="3" t="s">
        <v>4190</v>
      </c>
      <c r="BC151" s="3" t="s">
        <v>4191</v>
      </c>
      <c r="BD151" s="3" t="s">
        <v>3748</v>
      </c>
      <c r="BE151" s="3" t="s">
        <v>4159</v>
      </c>
      <c r="BF151" s="3" t="s">
        <v>3429</v>
      </c>
      <c r="BG151" s="3" t="s">
        <v>3497</v>
      </c>
      <c r="BH151" s="3" t="s">
        <v>4191</v>
      </c>
      <c r="BI151" s="3" t="s">
        <v>3856</v>
      </c>
      <c r="BJ151" s="3" t="s">
        <v>4192</v>
      </c>
      <c r="BK151" s="3" t="s">
        <v>3566</v>
      </c>
      <c r="BL151" s="3" t="s">
        <v>3581</v>
      </c>
      <c r="BM151" s="3" t="s">
        <v>3664</v>
      </c>
      <c r="BN151" s="3" t="s">
        <v>3707</v>
      </c>
      <c r="BO151" s="3">
        <v>1.0500000000000001E-2</v>
      </c>
      <c r="BP151" s="3">
        <v>1.0500000000000001E-2</v>
      </c>
      <c r="BQ151" s="3">
        <v>1.0500000000000001E-2</v>
      </c>
      <c r="BR151" s="3">
        <v>136</v>
      </c>
      <c r="BS151" s="3">
        <v>136</v>
      </c>
      <c r="BT151" s="3">
        <v>8</v>
      </c>
      <c r="BU151" s="3">
        <v>1193</v>
      </c>
      <c r="BV151" s="3">
        <v>1267</v>
      </c>
      <c r="BW151" s="3">
        <v>372</v>
      </c>
      <c r="BX151" s="3">
        <v>950</v>
      </c>
      <c r="BY151" s="3" t="s">
        <v>111</v>
      </c>
      <c r="BZ151" s="3" t="s">
        <v>153</v>
      </c>
      <c r="CA151" s="3">
        <v>0</v>
      </c>
      <c r="CB151" s="3" t="s">
        <v>111</v>
      </c>
      <c r="CC151" s="3" t="s">
        <v>111</v>
      </c>
      <c r="CD151" s="3" t="s">
        <v>1798</v>
      </c>
      <c r="CE151" s="3" t="s">
        <v>111</v>
      </c>
      <c r="CF151" s="3">
        <v>5022</v>
      </c>
      <c r="CI151" s="3">
        <f t="shared" si="12"/>
        <v>8.4000000000000005E-2</v>
      </c>
      <c r="CN151" s="3" t="s">
        <v>3382</v>
      </c>
      <c r="CO151" s="3" t="s">
        <v>4708</v>
      </c>
    </row>
    <row r="152" spans="1:93" x14ac:dyDescent="0.2">
      <c r="A152" s="3" t="s">
        <v>3383</v>
      </c>
      <c r="C152" s="5"/>
      <c r="D152" s="5"/>
      <c r="G152" s="3" t="s">
        <v>4708</v>
      </c>
      <c r="H152" s="3">
        <v>18063</v>
      </c>
      <c r="I152" s="14">
        <v>45156.81527777778</v>
      </c>
      <c r="J152" s="14">
        <v>45175.708333333336</v>
      </c>
      <c r="K152" s="3" t="s">
        <v>1828</v>
      </c>
      <c r="L152" s="3" t="s">
        <v>111</v>
      </c>
      <c r="M152" s="3" t="s">
        <v>111</v>
      </c>
      <c r="N152" s="3" t="s">
        <v>111</v>
      </c>
      <c r="O152" s="3" t="s">
        <v>112</v>
      </c>
      <c r="P152" s="3" t="s">
        <v>113</v>
      </c>
      <c r="Q152" s="3" t="s">
        <v>113</v>
      </c>
      <c r="R152" s="3">
        <v>0</v>
      </c>
      <c r="S152" s="3" t="s">
        <v>113</v>
      </c>
      <c r="T152" s="3">
        <v>0.8</v>
      </c>
      <c r="U152" s="3">
        <v>1</v>
      </c>
      <c r="V152" s="3">
        <v>270</v>
      </c>
      <c r="W152" s="3">
        <v>6</v>
      </c>
      <c r="X152" s="3">
        <v>8847</v>
      </c>
      <c r="Y152" s="3">
        <v>8.5500000000000007E-2</v>
      </c>
      <c r="Z152" s="3">
        <v>5.0900000000000001E-2</v>
      </c>
      <c r="AA152" s="3">
        <v>0.59509999999999996</v>
      </c>
      <c r="AB152" s="3" t="s">
        <v>113</v>
      </c>
      <c r="AC152" s="3" t="s">
        <v>4202</v>
      </c>
      <c r="AD152" s="3" t="s">
        <v>113</v>
      </c>
      <c r="AE152" s="3" t="s">
        <v>113</v>
      </c>
      <c r="AF152" s="3" t="s">
        <v>113</v>
      </c>
      <c r="AG152" s="3" t="s">
        <v>113</v>
      </c>
      <c r="AH152" s="3" t="s">
        <v>113</v>
      </c>
      <c r="AI152" s="3" t="s">
        <v>113</v>
      </c>
      <c r="AJ152" s="3">
        <v>571.06690000000003</v>
      </c>
      <c r="AK152" s="3" t="s">
        <v>4203</v>
      </c>
      <c r="AL152" s="3" t="s">
        <v>113</v>
      </c>
      <c r="AM152" s="3" t="s">
        <v>113</v>
      </c>
      <c r="AN152" s="3" t="s">
        <v>113</v>
      </c>
      <c r="AO152" s="3" t="s">
        <v>131</v>
      </c>
      <c r="AP152" s="3" t="s">
        <v>4007</v>
      </c>
      <c r="AQ152" s="3" t="s">
        <v>4204</v>
      </c>
      <c r="AR152" s="3" t="s">
        <v>4205</v>
      </c>
      <c r="AS152" s="3" t="s">
        <v>4206</v>
      </c>
      <c r="AT152" s="3" t="s">
        <v>4207</v>
      </c>
      <c r="AU152" s="3" t="s">
        <v>4208</v>
      </c>
      <c r="AV152" s="7">
        <v>9.1999999999999998E-2</v>
      </c>
      <c r="AY152" s="3" t="s">
        <v>3383</v>
      </c>
      <c r="BA152" s="3" t="s">
        <v>4210</v>
      </c>
      <c r="BB152" s="3" t="s">
        <v>4211</v>
      </c>
      <c r="BC152" s="3" t="s">
        <v>3440</v>
      </c>
      <c r="BD152" s="3" t="s">
        <v>4046</v>
      </c>
      <c r="BE152" s="3" t="s">
        <v>3894</v>
      </c>
      <c r="BF152" s="3" t="s">
        <v>3433</v>
      </c>
      <c r="BG152" s="3" t="s">
        <v>3566</v>
      </c>
      <c r="BH152" s="3" t="s">
        <v>3440</v>
      </c>
      <c r="BI152" s="3" t="s">
        <v>4151</v>
      </c>
      <c r="BJ152" s="3" t="s">
        <v>3902</v>
      </c>
      <c r="BK152" s="3" t="s">
        <v>3474</v>
      </c>
      <c r="BL152" s="3" t="s">
        <v>4212</v>
      </c>
      <c r="BM152" s="3" t="s">
        <v>3440</v>
      </c>
      <c r="BN152" s="3" t="s">
        <v>3471</v>
      </c>
      <c r="BO152" s="3">
        <v>1.0500000000000001E-2</v>
      </c>
      <c r="BP152" s="3">
        <v>1.0500000000000001E-2</v>
      </c>
      <c r="BQ152" s="3">
        <v>1.0500000000000001E-2</v>
      </c>
      <c r="BR152" s="3">
        <v>144</v>
      </c>
      <c r="BS152" s="3">
        <v>148</v>
      </c>
      <c r="BT152" s="3">
        <v>11</v>
      </c>
      <c r="BU152" s="3">
        <v>1103</v>
      </c>
      <c r="BV152" s="3">
        <v>1467</v>
      </c>
      <c r="BW152" s="3">
        <v>438</v>
      </c>
      <c r="BX152" s="3">
        <v>1090</v>
      </c>
      <c r="BY152" s="3" t="s">
        <v>111</v>
      </c>
      <c r="BZ152" s="3" t="s">
        <v>153</v>
      </c>
      <c r="CA152" s="3">
        <v>0</v>
      </c>
      <c r="CB152" s="3" t="s">
        <v>111</v>
      </c>
      <c r="CC152" s="3" t="s">
        <v>111</v>
      </c>
      <c r="CD152" s="3" t="s">
        <v>1855</v>
      </c>
      <c r="CE152" s="3" t="s">
        <v>111</v>
      </c>
      <c r="CF152" s="3">
        <v>5022</v>
      </c>
      <c r="CI152" s="3">
        <f t="shared" si="12"/>
        <v>0.11550000000000001</v>
      </c>
      <c r="CN152" s="3" t="s">
        <v>3383</v>
      </c>
      <c r="CO152" s="3" t="s">
        <v>4708</v>
      </c>
    </row>
    <row r="153" spans="1:93" x14ac:dyDescent="0.2">
      <c r="A153" s="3" t="s">
        <v>3384</v>
      </c>
      <c r="C153" s="5" t="s">
        <v>4727</v>
      </c>
      <c r="D153" s="5">
        <v>28</v>
      </c>
      <c r="G153" s="3" t="s">
        <v>4708</v>
      </c>
      <c r="H153" s="3">
        <v>18064</v>
      </c>
      <c r="I153" s="14">
        <v>45159.52847222222</v>
      </c>
      <c r="J153" s="14">
        <v>45175.718055555553</v>
      </c>
      <c r="K153" s="3" t="s">
        <v>1883</v>
      </c>
      <c r="L153" s="3" t="s">
        <v>111</v>
      </c>
      <c r="M153" s="3" t="s">
        <v>111</v>
      </c>
      <c r="N153" s="3" t="s">
        <v>111</v>
      </c>
      <c r="O153" s="3" t="s">
        <v>112</v>
      </c>
      <c r="P153" s="3" t="s">
        <v>113</v>
      </c>
      <c r="Q153" s="3" t="s">
        <v>113</v>
      </c>
      <c r="R153" s="3">
        <v>0</v>
      </c>
      <c r="S153" s="3" t="s">
        <v>113</v>
      </c>
      <c r="T153" s="3">
        <v>0.8</v>
      </c>
      <c r="U153" s="3">
        <v>1</v>
      </c>
      <c r="V153" s="3">
        <v>270</v>
      </c>
      <c r="W153" s="3">
        <v>6</v>
      </c>
      <c r="X153" s="3">
        <v>8847</v>
      </c>
      <c r="Y153" s="3">
        <v>5.2400000000000002E-2</v>
      </c>
      <c r="Z153" s="3">
        <v>4.3200000000000002E-2</v>
      </c>
      <c r="AA153" s="3">
        <v>0.82320000000000004</v>
      </c>
      <c r="AB153" s="3" t="s">
        <v>113</v>
      </c>
      <c r="AC153" s="3" t="s">
        <v>4224</v>
      </c>
      <c r="AD153" s="3" t="s">
        <v>113</v>
      </c>
      <c r="AE153" s="3" t="s">
        <v>113</v>
      </c>
      <c r="AF153" s="3" t="s">
        <v>113</v>
      </c>
      <c r="AG153" s="3" t="s">
        <v>113</v>
      </c>
      <c r="AH153" s="3" t="s">
        <v>113</v>
      </c>
      <c r="AI153" s="3" t="s">
        <v>113</v>
      </c>
      <c r="AJ153" s="3">
        <v>758.74480000000005</v>
      </c>
      <c r="AK153" s="3" t="s">
        <v>4225</v>
      </c>
      <c r="AL153" s="3" t="s">
        <v>113</v>
      </c>
      <c r="AM153" s="3" t="s">
        <v>113</v>
      </c>
      <c r="AN153" s="3" t="s">
        <v>113</v>
      </c>
      <c r="AO153" s="3" t="s">
        <v>131</v>
      </c>
      <c r="AP153" s="3" t="s">
        <v>3766</v>
      </c>
      <c r="AQ153" s="3" t="s">
        <v>3472</v>
      </c>
      <c r="AR153" s="3" t="s">
        <v>3565</v>
      </c>
      <c r="AS153" s="3" t="s">
        <v>4226</v>
      </c>
      <c r="AT153" s="3" t="s">
        <v>4227</v>
      </c>
      <c r="AU153" s="3" t="s">
        <v>4228</v>
      </c>
      <c r="AV153" s="7">
        <v>0.13</v>
      </c>
      <c r="AY153" s="3" t="s">
        <v>3384</v>
      </c>
      <c r="BA153" s="3" t="s">
        <v>4229</v>
      </c>
      <c r="BB153" s="3" t="s">
        <v>4230</v>
      </c>
      <c r="BC153" s="3" t="s">
        <v>3426</v>
      </c>
      <c r="BD153" s="3" t="s">
        <v>4231</v>
      </c>
      <c r="BE153" s="3" t="s">
        <v>3966</v>
      </c>
      <c r="BF153" s="3" t="s">
        <v>3725</v>
      </c>
      <c r="BG153" s="3" t="s">
        <v>3474</v>
      </c>
      <c r="BH153" s="3" t="s">
        <v>3426</v>
      </c>
      <c r="BI153" s="3" t="s">
        <v>4232</v>
      </c>
      <c r="BJ153" s="3" t="s">
        <v>4233</v>
      </c>
      <c r="BK153" s="3" t="s">
        <v>3474</v>
      </c>
      <c r="BL153" s="3" t="s">
        <v>3593</v>
      </c>
      <c r="BM153" s="3" t="s">
        <v>4234</v>
      </c>
      <c r="BN153" s="3" t="s">
        <v>3517</v>
      </c>
      <c r="BO153" s="3">
        <v>1.0500000000000001E-2</v>
      </c>
      <c r="BP153" s="3">
        <v>1.0500000000000001E-2</v>
      </c>
      <c r="BQ153" s="3">
        <v>1.0500000000000001E-2</v>
      </c>
      <c r="BR153" s="3">
        <v>132</v>
      </c>
      <c r="BS153" s="3">
        <v>104</v>
      </c>
      <c r="BT153" s="3">
        <v>16</v>
      </c>
      <c r="BU153" s="3">
        <v>1087</v>
      </c>
      <c r="BV153" s="3">
        <v>1494</v>
      </c>
      <c r="BW153" s="3">
        <v>575</v>
      </c>
      <c r="BX153" s="3">
        <v>1100</v>
      </c>
      <c r="BY153" s="3" t="s">
        <v>111</v>
      </c>
      <c r="BZ153" s="3" t="s">
        <v>153</v>
      </c>
      <c r="CA153" s="3">
        <v>0</v>
      </c>
      <c r="CB153" s="3" t="s">
        <v>111</v>
      </c>
      <c r="CC153" s="3" t="s">
        <v>111</v>
      </c>
      <c r="CD153" s="3" t="s">
        <v>1911</v>
      </c>
      <c r="CE153" s="3" t="s">
        <v>111</v>
      </c>
      <c r="CF153" s="3">
        <v>5022</v>
      </c>
      <c r="CI153" s="3">
        <f t="shared" si="12"/>
        <v>0.16800000000000001</v>
      </c>
      <c r="CN153" s="3" t="s">
        <v>3384</v>
      </c>
      <c r="CO153" s="3" t="s">
        <v>4708</v>
      </c>
    </row>
    <row r="154" spans="1:93" x14ac:dyDescent="0.2">
      <c r="A154" s="3" t="s">
        <v>3385</v>
      </c>
      <c r="C154" s="5" t="s">
        <v>4727</v>
      </c>
      <c r="D154" s="5">
        <v>28</v>
      </c>
      <c r="G154" s="3" t="s">
        <v>4708</v>
      </c>
      <c r="H154" s="3">
        <v>18065</v>
      </c>
      <c r="I154" s="14">
        <v>45159.549305555556</v>
      </c>
      <c r="J154" s="14">
        <v>45175.728472222225</v>
      </c>
      <c r="K154" s="3" t="s">
        <v>1941</v>
      </c>
      <c r="L154" s="3" t="s">
        <v>111</v>
      </c>
      <c r="M154" s="3" t="s">
        <v>111</v>
      </c>
      <c r="N154" s="3" t="s">
        <v>111</v>
      </c>
      <c r="O154" s="3" t="s">
        <v>112</v>
      </c>
      <c r="P154" s="3" t="s">
        <v>113</v>
      </c>
      <c r="Q154" s="3" t="s">
        <v>113</v>
      </c>
      <c r="R154" s="3">
        <v>0</v>
      </c>
      <c r="S154" s="3" t="s">
        <v>113</v>
      </c>
      <c r="T154" s="3">
        <v>0.8</v>
      </c>
      <c r="U154" s="3">
        <v>1</v>
      </c>
      <c r="V154" s="3">
        <v>270</v>
      </c>
      <c r="W154" s="3">
        <v>6</v>
      </c>
      <c r="X154" s="3">
        <v>8847</v>
      </c>
      <c r="Y154" s="3">
        <v>6.6000000000000003E-2</v>
      </c>
      <c r="Z154" s="3">
        <v>4.8899999999999999E-2</v>
      </c>
      <c r="AA154" s="3">
        <v>0.74080000000000001</v>
      </c>
      <c r="AB154" s="3" t="s">
        <v>113</v>
      </c>
      <c r="AC154" s="3" t="s">
        <v>4243</v>
      </c>
      <c r="AD154" s="3" t="s">
        <v>113</v>
      </c>
      <c r="AE154" s="3" t="s">
        <v>113</v>
      </c>
      <c r="AF154" s="3" t="s">
        <v>113</v>
      </c>
      <c r="AG154" s="3" t="s">
        <v>113</v>
      </c>
      <c r="AH154" s="3" t="s">
        <v>113</v>
      </c>
      <c r="AI154" s="3" t="s">
        <v>113</v>
      </c>
      <c r="AJ154" s="3">
        <v>653.27589999999998</v>
      </c>
      <c r="AK154" s="3" t="s">
        <v>4244</v>
      </c>
      <c r="AL154" s="3" t="s">
        <v>113</v>
      </c>
      <c r="AM154" s="3" t="s">
        <v>113</v>
      </c>
      <c r="AN154" s="3" t="s">
        <v>113</v>
      </c>
      <c r="AO154" s="3" t="s">
        <v>131</v>
      </c>
      <c r="AP154" s="3" t="s">
        <v>4084</v>
      </c>
      <c r="AQ154" s="3" t="s">
        <v>3727</v>
      </c>
      <c r="AR154" s="3" t="s">
        <v>3455</v>
      </c>
      <c r="AS154" s="3" t="s">
        <v>4245</v>
      </c>
      <c r="AT154" s="3" t="s">
        <v>4246</v>
      </c>
      <c r="AU154" s="3" t="s">
        <v>4247</v>
      </c>
      <c r="AV154" s="7">
        <v>8.5000000000000006E-2</v>
      </c>
      <c r="AY154" s="3" t="s">
        <v>3385</v>
      </c>
      <c r="BA154" s="3" t="s">
        <v>3689</v>
      </c>
      <c r="BB154" s="3" t="s">
        <v>4248</v>
      </c>
      <c r="BC154" s="3" t="s">
        <v>3945</v>
      </c>
      <c r="BD154" s="3" t="s">
        <v>3564</v>
      </c>
      <c r="BE154" s="3" t="s">
        <v>4007</v>
      </c>
      <c r="BF154" s="3" t="s">
        <v>3497</v>
      </c>
      <c r="BG154" s="3" t="s">
        <v>3566</v>
      </c>
      <c r="BH154" s="3" t="s">
        <v>3945</v>
      </c>
      <c r="BI154" s="3" t="s">
        <v>4249</v>
      </c>
      <c r="BJ154" s="3" t="s">
        <v>4171</v>
      </c>
      <c r="BK154" s="3" t="s">
        <v>3497</v>
      </c>
      <c r="BL154" s="3" t="s">
        <v>4250</v>
      </c>
      <c r="BM154" s="3" t="s">
        <v>4251</v>
      </c>
      <c r="BN154" s="3" t="s">
        <v>3515</v>
      </c>
      <c r="BO154" s="3">
        <v>1.0500000000000001E-2</v>
      </c>
      <c r="BP154" s="3">
        <v>1.0500000000000001E-2</v>
      </c>
      <c r="BQ154" s="3">
        <v>1.0500000000000001E-2</v>
      </c>
      <c r="BR154" s="3">
        <v>136</v>
      </c>
      <c r="BS154" s="3">
        <v>108</v>
      </c>
      <c r="BT154" s="3">
        <v>12</v>
      </c>
      <c r="BU154" s="3">
        <v>730</v>
      </c>
      <c r="BV154" s="3">
        <v>1530</v>
      </c>
      <c r="BW154" s="3">
        <v>476</v>
      </c>
      <c r="BX154" s="3">
        <v>1030</v>
      </c>
      <c r="BY154" s="3" t="s">
        <v>111</v>
      </c>
      <c r="BZ154" s="3" t="s">
        <v>153</v>
      </c>
      <c r="CA154" s="3">
        <v>0</v>
      </c>
      <c r="CB154" s="3" t="s">
        <v>111</v>
      </c>
      <c r="CC154" s="3" t="s">
        <v>111</v>
      </c>
      <c r="CD154" s="3" t="s">
        <v>1968</v>
      </c>
      <c r="CE154" s="3" t="s">
        <v>111</v>
      </c>
      <c r="CF154" s="3">
        <v>5022</v>
      </c>
      <c r="CI154" s="3">
        <f>BQ154*BT154</f>
        <v>0.126</v>
      </c>
      <c r="CN154" s="3" t="s">
        <v>3385</v>
      </c>
      <c r="CO154" s="3" t="s">
        <v>4708</v>
      </c>
    </row>
    <row r="155" spans="1:93" x14ac:dyDescent="0.2">
      <c r="A155" s="3" t="s">
        <v>3386</v>
      </c>
      <c r="C155" s="5" t="s">
        <v>4727</v>
      </c>
      <c r="D155" s="5">
        <v>28</v>
      </c>
      <c r="G155" s="3" t="s">
        <v>4708</v>
      </c>
      <c r="H155" s="3">
        <v>18066</v>
      </c>
      <c r="I155" s="14">
        <v>45159.570138888892</v>
      </c>
      <c r="J155" s="14">
        <v>45175.738888888889</v>
      </c>
      <c r="K155" s="3" t="s">
        <v>1997</v>
      </c>
      <c r="L155" s="3" t="s">
        <v>111</v>
      </c>
      <c r="M155" s="3" t="s">
        <v>111</v>
      </c>
      <c r="N155" s="3" t="s">
        <v>111</v>
      </c>
      <c r="O155" s="3" t="s">
        <v>112</v>
      </c>
      <c r="P155" s="3" t="s">
        <v>113</v>
      </c>
      <c r="Q155" s="3" t="s">
        <v>113</v>
      </c>
      <c r="R155" s="3">
        <v>0</v>
      </c>
      <c r="S155" s="3" t="s">
        <v>113</v>
      </c>
      <c r="T155" s="3">
        <v>0.8</v>
      </c>
      <c r="U155" s="3">
        <v>1</v>
      </c>
      <c r="V155" s="3">
        <v>270</v>
      </c>
      <c r="W155" s="3">
        <v>6</v>
      </c>
      <c r="X155" s="3">
        <v>8847</v>
      </c>
      <c r="Y155" s="3">
        <v>6.4399999999999999E-2</v>
      </c>
      <c r="Z155" s="3">
        <v>4.2599999999999999E-2</v>
      </c>
      <c r="AA155" s="3">
        <v>0.66220000000000001</v>
      </c>
      <c r="AB155" s="3" t="s">
        <v>113</v>
      </c>
      <c r="AC155" s="3" t="s">
        <v>4264</v>
      </c>
      <c r="AD155" s="3" t="s">
        <v>113</v>
      </c>
      <c r="AE155" s="3" t="s">
        <v>113</v>
      </c>
      <c r="AF155" s="3" t="s">
        <v>113</v>
      </c>
      <c r="AG155" s="3" t="s">
        <v>113</v>
      </c>
      <c r="AH155" s="3" t="s">
        <v>113</v>
      </c>
      <c r="AI155" s="3" t="s">
        <v>113</v>
      </c>
      <c r="AJ155" s="3">
        <v>593.81790000000001</v>
      </c>
      <c r="AK155" s="3" t="s">
        <v>4265</v>
      </c>
      <c r="AL155" s="3" t="s">
        <v>113</v>
      </c>
      <c r="AM155" s="3" t="s">
        <v>113</v>
      </c>
      <c r="AN155" s="3" t="s">
        <v>113</v>
      </c>
      <c r="AO155" s="3" t="s">
        <v>131</v>
      </c>
      <c r="AP155" s="3" t="s">
        <v>4266</v>
      </c>
      <c r="AQ155" s="3" t="s">
        <v>4034</v>
      </c>
      <c r="AR155" s="3" t="s">
        <v>3633</v>
      </c>
      <c r="AS155" s="3" t="s">
        <v>4267</v>
      </c>
      <c r="AT155" s="3" t="s">
        <v>4268</v>
      </c>
      <c r="AU155" s="3" t="s">
        <v>4269</v>
      </c>
      <c r="AV155" s="7">
        <v>0.08</v>
      </c>
      <c r="AY155" s="3" t="s">
        <v>3386</v>
      </c>
      <c r="BA155" s="3" t="s">
        <v>4159</v>
      </c>
      <c r="BB155" s="3" t="s">
        <v>4270</v>
      </c>
      <c r="BC155" s="3" t="s">
        <v>3715</v>
      </c>
      <c r="BD155" s="3" t="s">
        <v>4271</v>
      </c>
      <c r="BE155" s="3" t="s">
        <v>3691</v>
      </c>
      <c r="BF155" s="3" t="s">
        <v>3566</v>
      </c>
      <c r="BG155" s="3" t="s">
        <v>3566</v>
      </c>
      <c r="BH155" s="3" t="s">
        <v>3715</v>
      </c>
      <c r="BI155" s="3" t="s">
        <v>3694</v>
      </c>
      <c r="BJ155" s="3" t="s">
        <v>4272</v>
      </c>
      <c r="BK155" s="3" t="s">
        <v>3566</v>
      </c>
      <c r="BL155" s="3" t="s">
        <v>4184</v>
      </c>
      <c r="BM155" s="3" t="s">
        <v>3942</v>
      </c>
      <c r="BN155" s="3" t="s">
        <v>3566</v>
      </c>
      <c r="BO155" s="3">
        <v>1.0500000000000001E-2</v>
      </c>
      <c r="BP155" s="3">
        <v>1.0500000000000001E-2</v>
      </c>
      <c r="BQ155" s="3">
        <v>1.0500000000000001E-2</v>
      </c>
      <c r="BR155" s="3">
        <v>136</v>
      </c>
      <c r="BS155" s="3">
        <v>136</v>
      </c>
      <c r="BT155" s="3">
        <v>9</v>
      </c>
      <c r="BU155" s="3">
        <v>636</v>
      </c>
      <c r="BV155" s="3">
        <v>1524</v>
      </c>
      <c r="BW155" s="3">
        <v>646</v>
      </c>
      <c r="BX155" s="3">
        <v>1126</v>
      </c>
      <c r="BY155" s="3" t="s">
        <v>111</v>
      </c>
      <c r="BZ155" s="3" t="s">
        <v>153</v>
      </c>
      <c r="CA155" s="3">
        <v>0</v>
      </c>
      <c r="CB155" s="3" t="s">
        <v>111</v>
      </c>
      <c r="CC155" s="3" t="s">
        <v>111</v>
      </c>
      <c r="CD155" s="3" t="s">
        <v>2027</v>
      </c>
      <c r="CE155" s="3" t="s">
        <v>111</v>
      </c>
      <c r="CF155" s="3">
        <v>5022</v>
      </c>
      <c r="CI155" s="3">
        <f>BQ155*BT155</f>
        <v>9.4500000000000001E-2</v>
      </c>
      <c r="CN155" s="3" t="s">
        <v>3386</v>
      </c>
      <c r="CO155" s="3" t="s">
        <v>4708</v>
      </c>
    </row>
    <row r="156" spans="1:93" x14ac:dyDescent="0.2">
      <c r="A156" s="3" t="s">
        <v>3387</v>
      </c>
      <c r="C156" s="5" t="s">
        <v>4727</v>
      </c>
      <c r="D156" s="5">
        <v>28</v>
      </c>
      <c r="G156" s="3" t="s">
        <v>4708</v>
      </c>
      <c r="H156" s="3">
        <v>18067</v>
      </c>
      <c r="I156" s="14">
        <v>45159.601388888892</v>
      </c>
      <c r="J156" s="14">
        <v>45175.749305555553</v>
      </c>
      <c r="K156" s="3" t="s">
        <v>2056</v>
      </c>
      <c r="L156" s="3" t="s">
        <v>111</v>
      </c>
      <c r="M156" s="3" t="s">
        <v>111</v>
      </c>
      <c r="N156" s="3" t="s">
        <v>111</v>
      </c>
      <c r="O156" s="3" t="s">
        <v>112</v>
      </c>
      <c r="P156" s="3" t="s">
        <v>113</v>
      </c>
      <c r="Q156" s="3" t="s">
        <v>113</v>
      </c>
      <c r="R156" s="3">
        <v>0</v>
      </c>
      <c r="S156" s="3" t="s">
        <v>113</v>
      </c>
      <c r="T156" s="3">
        <v>0.8</v>
      </c>
      <c r="U156" s="3">
        <v>1</v>
      </c>
      <c r="V156" s="3">
        <v>270</v>
      </c>
      <c r="W156" s="3">
        <v>6</v>
      </c>
      <c r="X156" s="3">
        <v>8847</v>
      </c>
      <c r="Y156" s="3">
        <v>5.33E-2</v>
      </c>
      <c r="Z156" s="3">
        <v>4.7699999999999999E-2</v>
      </c>
      <c r="AA156" s="3">
        <v>0.89480000000000004</v>
      </c>
      <c r="AB156" s="3" t="s">
        <v>113</v>
      </c>
      <c r="AC156" s="3" t="s">
        <v>4282</v>
      </c>
      <c r="AD156" s="3" t="s">
        <v>113</v>
      </c>
      <c r="AE156" s="3" t="s">
        <v>113</v>
      </c>
      <c r="AF156" s="3" t="s">
        <v>113</v>
      </c>
      <c r="AG156" s="3" t="s">
        <v>113</v>
      </c>
      <c r="AH156" s="3" t="s">
        <v>113</v>
      </c>
      <c r="AI156" s="3" t="s">
        <v>113</v>
      </c>
      <c r="AJ156" s="3">
        <v>792.03549999999996</v>
      </c>
      <c r="AK156" s="3" t="s">
        <v>4283</v>
      </c>
      <c r="AL156" s="3" t="s">
        <v>113</v>
      </c>
      <c r="AM156" s="3" t="s">
        <v>113</v>
      </c>
      <c r="AN156" s="3" t="s">
        <v>113</v>
      </c>
      <c r="AO156" s="3" t="s">
        <v>131</v>
      </c>
      <c r="AP156" s="3" t="s">
        <v>3694</v>
      </c>
      <c r="AQ156" s="3" t="s">
        <v>3727</v>
      </c>
      <c r="AR156" s="3" t="s">
        <v>3419</v>
      </c>
      <c r="AS156" s="3" t="s">
        <v>4284</v>
      </c>
      <c r="AT156" s="3" t="s">
        <v>4285</v>
      </c>
      <c r="AU156" s="3" t="s">
        <v>4286</v>
      </c>
      <c r="AV156" s="7">
        <v>0.13200000000000001</v>
      </c>
      <c r="AY156" s="3" t="s">
        <v>3387</v>
      </c>
      <c r="BA156" s="3" t="s">
        <v>4287</v>
      </c>
      <c r="BB156" s="3" t="s">
        <v>4288</v>
      </c>
      <c r="BC156" s="3" t="s">
        <v>3440</v>
      </c>
      <c r="BD156" s="3" t="s">
        <v>4127</v>
      </c>
      <c r="BE156" s="3" t="s">
        <v>3728</v>
      </c>
      <c r="BF156" s="3" t="s">
        <v>3429</v>
      </c>
      <c r="BG156" s="3" t="s">
        <v>3477</v>
      </c>
      <c r="BH156" s="3" t="s">
        <v>3440</v>
      </c>
      <c r="BI156" s="3" t="s">
        <v>4289</v>
      </c>
      <c r="BJ156" s="3" t="s">
        <v>3495</v>
      </c>
      <c r="BK156" s="3" t="s">
        <v>3433</v>
      </c>
      <c r="BL156" s="3" t="s">
        <v>3584</v>
      </c>
      <c r="BM156" s="3" t="s">
        <v>3826</v>
      </c>
      <c r="BN156" s="3" t="s">
        <v>4290</v>
      </c>
      <c r="BO156" s="3">
        <v>1.0500000000000001E-2</v>
      </c>
      <c r="BP156" s="3">
        <v>1.0500000000000001E-2</v>
      </c>
      <c r="BQ156" s="3">
        <v>1.0500000000000001E-2</v>
      </c>
      <c r="BR156" s="3">
        <v>132</v>
      </c>
      <c r="BS156" s="3">
        <v>100</v>
      </c>
      <c r="BT156" s="3">
        <v>13</v>
      </c>
      <c r="BU156" s="3">
        <v>296</v>
      </c>
      <c r="BV156" s="3">
        <v>1254</v>
      </c>
      <c r="BW156" s="3">
        <v>338</v>
      </c>
      <c r="BX156" s="3">
        <v>870</v>
      </c>
      <c r="BY156" s="3" t="s">
        <v>111</v>
      </c>
      <c r="BZ156" s="3" t="s">
        <v>153</v>
      </c>
      <c r="CA156" s="3">
        <v>0</v>
      </c>
      <c r="CB156" s="3" t="s">
        <v>111</v>
      </c>
      <c r="CC156" s="3" t="s">
        <v>111</v>
      </c>
      <c r="CD156" s="3" t="s">
        <v>2085</v>
      </c>
      <c r="CE156" s="3" t="s">
        <v>111</v>
      </c>
      <c r="CF156" s="3">
        <v>5022</v>
      </c>
      <c r="CI156" s="3">
        <f>BQ156*BT156</f>
        <v>0.13650000000000001</v>
      </c>
      <c r="CN156" s="3" t="s">
        <v>3387</v>
      </c>
      <c r="CO156" s="3" t="s">
        <v>4708</v>
      </c>
    </row>
    <row r="157" spans="1:93" x14ac:dyDescent="0.2">
      <c r="A157" s="3" t="s">
        <v>3388</v>
      </c>
      <c r="C157" s="5" t="s">
        <v>4727</v>
      </c>
      <c r="D157" s="5">
        <v>28</v>
      </c>
      <c r="G157" s="3" t="s">
        <v>4708</v>
      </c>
      <c r="H157" s="3">
        <v>18068</v>
      </c>
      <c r="I157" s="14">
        <v>45159.618750000001</v>
      </c>
      <c r="J157" s="14">
        <v>45175.760416666664</v>
      </c>
      <c r="K157" s="3" t="s">
        <v>2112</v>
      </c>
      <c r="L157" s="3" t="s">
        <v>111</v>
      </c>
      <c r="M157" s="3" t="s">
        <v>111</v>
      </c>
      <c r="N157" s="3" t="s">
        <v>111</v>
      </c>
      <c r="O157" s="3" t="s">
        <v>112</v>
      </c>
      <c r="P157" s="3" t="s">
        <v>113</v>
      </c>
      <c r="Q157" s="3" t="s">
        <v>113</v>
      </c>
      <c r="R157" s="3">
        <v>0</v>
      </c>
      <c r="S157" s="3" t="s">
        <v>113</v>
      </c>
      <c r="T157" s="3">
        <v>0.8</v>
      </c>
      <c r="U157" s="3">
        <v>1</v>
      </c>
      <c r="V157" s="3">
        <v>270</v>
      </c>
      <c r="W157" s="3">
        <v>6</v>
      </c>
      <c r="X157" s="3">
        <v>8847</v>
      </c>
      <c r="Y157" s="3">
        <v>5.4800000000000001E-2</v>
      </c>
      <c r="Z157" s="3">
        <v>5.0099999999999999E-2</v>
      </c>
      <c r="AA157" s="3">
        <v>0.91469999999999996</v>
      </c>
      <c r="AB157" s="3" t="s">
        <v>113</v>
      </c>
      <c r="AC157" s="3" t="s">
        <v>4298</v>
      </c>
      <c r="AD157" s="3" t="s">
        <v>113</v>
      </c>
      <c r="AE157" s="3" t="s">
        <v>113</v>
      </c>
      <c r="AF157" s="3" t="s">
        <v>113</v>
      </c>
      <c r="AG157" s="3" t="s">
        <v>113</v>
      </c>
      <c r="AH157" s="3" t="s">
        <v>113</v>
      </c>
      <c r="AI157" s="3" t="s">
        <v>113</v>
      </c>
      <c r="AJ157" s="3">
        <v>814.423</v>
      </c>
      <c r="AK157" s="3" t="s">
        <v>4299</v>
      </c>
      <c r="AL157" s="3" t="s">
        <v>113</v>
      </c>
      <c r="AM157" s="3" t="s">
        <v>113</v>
      </c>
      <c r="AN157" s="3" t="s">
        <v>113</v>
      </c>
      <c r="AO157" s="3" t="s">
        <v>131</v>
      </c>
      <c r="AP157" s="3" t="s">
        <v>3486</v>
      </c>
      <c r="AQ157" s="3" t="s">
        <v>4300</v>
      </c>
      <c r="AR157" s="3" t="s">
        <v>3522</v>
      </c>
      <c r="AS157" s="3" t="s">
        <v>4301</v>
      </c>
      <c r="AT157" s="3" t="s">
        <v>4302</v>
      </c>
      <c r="AU157" s="3" t="s">
        <v>4303</v>
      </c>
      <c r="AV157" s="7">
        <v>0.13600000000000001</v>
      </c>
      <c r="AY157" s="3" t="s">
        <v>3388</v>
      </c>
      <c r="BA157" s="3" t="s">
        <v>3439</v>
      </c>
      <c r="BB157" s="3" t="s">
        <v>4304</v>
      </c>
      <c r="BC157" s="3" t="s">
        <v>3989</v>
      </c>
      <c r="BD157" s="3" t="s">
        <v>4305</v>
      </c>
      <c r="BE157" s="3" t="s">
        <v>3985</v>
      </c>
      <c r="BF157" s="3" t="s">
        <v>3429</v>
      </c>
      <c r="BG157" s="3" t="s">
        <v>3456</v>
      </c>
      <c r="BH157" s="3" t="s">
        <v>4306</v>
      </c>
      <c r="BI157" s="3" t="s">
        <v>4307</v>
      </c>
      <c r="BJ157" s="3" t="s">
        <v>4308</v>
      </c>
      <c r="BK157" s="3" t="s">
        <v>3745</v>
      </c>
      <c r="BL157" s="3" t="s">
        <v>4249</v>
      </c>
      <c r="BM157" s="3" t="s">
        <v>4084</v>
      </c>
      <c r="BN157" s="3" t="s">
        <v>4309</v>
      </c>
      <c r="BO157" s="3">
        <v>1.0500000000000001E-2</v>
      </c>
      <c r="BP157" s="3">
        <v>1.0500000000000001E-2</v>
      </c>
      <c r="BQ157" s="3">
        <v>1.0500000000000001E-2</v>
      </c>
      <c r="BR157" s="3">
        <v>132</v>
      </c>
      <c r="BS157" s="3">
        <v>76</v>
      </c>
      <c r="BT157" s="3">
        <v>15</v>
      </c>
      <c r="BU157" s="3">
        <v>264</v>
      </c>
      <c r="BV157" s="3">
        <v>1294</v>
      </c>
      <c r="BW157" s="3">
        <v>586</v>
      </c>
      <c r="BX157" s="3">
        <v>1126</v>
      </c>
      <c r="BY157" s="3" t="s">
        <v>111</v>
      </c>
      <c r="BZ157" s="3" t="s">
        <v>153</v>
      </c>
      <c r="CA157" s="3">
        <v>0</v>
      </c>
      <c r="CB157" s="3" t="s">
        <v>111</v>
      </c>
      <c r="CC157" s="3" t="s">
        <v>111</v>
      </c>
      <c r="CD157" s="3" t="s">
        <v>2141</v>
      </c>
      <c r="CE157" s="3" t="s">
        <v>111</v>
      </c>
      <c r="CF157" s="3">
        <v>5022</v>
      </c>
      <c r="CI157" s="3">
        <f>BQ157*BT157</f>
        <v>0.1575</v>
      </c>
      <c r="CN157" s="3" t="s">
        <v>3388</v>
      </c>
      <c r="CO157" s="3" t="s">
        <v>4708</v>
      </c>
    </row>
    <row r="158" spans="1:93" x14ac:dyDescent="0.2">
      <c r="C158" s="5" t="s">
        <v>4727</v>
      </c>
      <c r="D158" s="5">
        <v>28</v>
      </c>
      <c r="I158" s="14"/>
      <c r="J158" s="14"/>
    </row>
    <row r="159" spans="1:93" x14ac:dyDescent="0.2">
      <c r="C159" s="5" t="s">
        <v>4727</v>
      </c>
      <c r="D159" s="5">
        <v>28</v>
      </c>
      <c r="I159" s="14"/>
      <c r="J159" s="14"/>
      <c r="CH159" s="3" t="s">
        <v>4714</v>
      </c>
      <c r="CI159" s="5">
        <f>_xlfn.T.TEST(CI142:CI149,CI150:CI157,2,3)</f>
        <v>7.82641138492991E-2</v>
      </c>
    </row>
    <row r="160" spans="1:93" x14ac:dyDescent="0.2">
      <c r="C160" s="5" t="s">
        <v>4727</v>
      </c>
      <c r="D160" s="5">
        <v>28</v>
      </c>
      <c r="CI160" s="5"/>
    </row>
    <row r="166" spans="9:10" x14ac:dyDescent="0.2">
      <c r="I166" s="14"/>
      <c r="J166" s="14"/>
    </row>
    <row r="167" spans="9:10" x14ac:dyDescent="0.2">
      <c r="I167" s="14"/>
      <c r="J167" s="14"/>
    </row>
    <row r="180" spans="9:10" x14ac:dyDescent="0.2">
      <c r="I180" s="14"/>
      <c r="J180" s="14"/>
    </row>
    <row r="181" spans="9:10" x14ac:dyDescent="0.2">
      <c r="I181" s="14"/>
      <c r="J181" s="14"/>
    </row>
    <row r="193" spans="9:10" x14ac:dyDescent="0.2">
      <c r="I193" s="14"/>
      <c r="J193" s="14"/>
    </row>
    <row r="194" spans="9:10" x14ac:dyDescent="0.2">
      <c r="I194" s="14"/>
      <c r="J194" s="14"/>
    </row>
    <row r="195" spans="9:10" x14ac:dyDescent="0.2">
      <c r="I195" s="14"/>
      <c r="J195" s="14"/>
    </row>
    <row r="196" spans="9:10" x14ac:dyDescent="0.2">
      <c r="I196" s="14"/>
      <c r="J196" s="14"/>
    </row>
    <row r="197" spans="9:10" x14ac:dyDescent="0.2">
      <c r="I197" s="14"/>
      <c r="J197" s="14"/>
    </row>
    <row r="198" spans="9:10" x14ac:dyDescent="0.2">
      <c r="I198" s="14"/>
      <c r="J198" s="14"/>
    </row>
    <row r="199" spans="9:10" x14ac:dyDescent="0.2">
      <c r="I199" s="14"/>
      <c r="J199" s="14"/>
    </row>
    <row r="200" spans="9:10" x14ac:dyDescent="0.2">
      <c r="I200" s="14"/>
      <c r="J200" s="14"/>
    </row>
    <row r="201" spans="9:10" x14ac:dyDescent="0.2">
      <c r="I201" s="14"/>
      <c r="J201" s="14"/>
    </row>
    <row r="202" spans="9:10" x14ac:dyDescent="0.2">
      <c r="I202" s="14"/>
      <c r="J202" s="14"/>
    </row>
    <row r="203" spans="9:10" x14ac:dyDescent="0.2">
      <c r="I203" s="14"/>
      <c r="J203" s="14"/>
    </row>
    <row r="204" spans="9:10" x14ac:dyDescent="0.2">
      <c r="I204" s="14"/>
      <c r="J204" s="14"/>
    </row>
    <row r="205" spans="9:10" x14ac:dyDescent="0.2">
      <c r="I205" s="14"/>
      <c r="J205" s="14"/>
    </row>
    <row r="206" spans="9:10" x14ac:dyDescent="0.2">
      <c r="I206" s="14"/>
      <c r="J206" s="14"/>
    </row>
    <row r="207" spans="9:10" x14ac:dyDescent="0.2">
      <c r="I207" s="14"/>
      <c r="J207" s="14"/>
    </row>
    <row r="208" spans="9:10" x14ac:dyDescent="0.2">
      <c r="I208" s="14"/>
      <c r="J208" s="14"/>
    </row>
    <row r="209" spans="9:10" x14ac:dyDescent="0.2">
      <c r="I209" s="14"/>
      <c r="J209" s="14"/>
    </row>
    <row r="212" spans="9:10" x14ac:dyDescent="0.2">
      <c r="I212" s="14"/>
      <c r="J212" s="14"/>
    </row>
    <row r="213" spans="9:10" x14ac:dyDescent="0.2">
      <c r="I213" s="14"/>
      <c r="J213" s="14"/>
    </row>
    <row r="214" spans="9:10" x14ac:dyDescent="0.2">
      <c r="I214" s="14"/>
      <c r="J214" s="14"/>
    </row>
    <row r="215" spans="9:10" x14ac:dyDescent="0.2">
      <c r="I215" s="14"/>
      <c r="J215" s="14"/>
    </row>
    <row r="216" spans="9:10" x14ac:dyDescent="0.2">
      <c r="I216" s="14"/>
      <c r="J216" s="14"/>
    </row>
    <row r="217" spans="9:10" x14ac:dyDescent="0.2">
      <c r="I217" s="14"/>
      <c r="J217" s="14"/>
    </row>
    <row r="218" spans="9:10" x14ac:dyDescent="0.2">
      <c r="I218" s="14"/>
      <c r="J218" s="14"/>
    </row>
    <row r="219" spans="9:10" x14ac:dyDescent="0.2">
      <c r="I219" s="14"/>
      <c r="J219" s="14"/>
    </row>
    <row r="220" spans="9:10" x14ac:dyDescent="0.2">
      <c r="I220" s="14"/>
      <c r="J220" s="14"/>
    </row>
    <row r="221" spans="9:10" x14ac:dyDescent="0.2">
      <c r="I221" s="14"/>
      <c r="J221" s="14"/>
    </row>
    <row r="222" spans="9:10" x14ac:dyDescent="0.2">
      <c r="I222" s="14"/>
      <c r="J222" s="14"/>
    </row>
    <row r="223" spans="9:10" x14ac:dyDescent="0.2">
      <c r="I223" s="14"/>
      <c r="J223" s="14"/>
    </row>
    <row r="224" spans="9:10" x14ac:dyDescent="0.2">
      <c r="I224" s="14"/>
      <c r="J224" s="14"/>
    </row>
    <row r="225" spans="9:10" x14ac:dyDescent="0.2">
      <c r="I225" s="14"/>
      <c r="J225" s="14"/>
    </row>
    <row r="226" spans="9:10" x14ac:dyDescent="0.2">
      <c r="I226" s="14"/>
      <c r="J226" s="14"/>
    </row>
    <row r="227" spans="9:10" x14ac:dyDescent="0.2">
      <c r="I227" s="14"/>
      <c r="J227" s="14"/>
    </row>
    <row r="228" spans="9:10" x14ac:dyDescent="0.2">
      <c r="I228" s="14"/>
      <c r="J228" s="14"/>
    </row>
    <row r="229" spans="9:10" x14ac:dyDescent="0.2">
      <c r="I229" s="14"/>
      <c r="J229" s="14"/>
    </row>
    <row r="233" spans="9:10" x14ac:dyDescent="0.2">
      <c r="I233" s="14"/>
      <c r="J233" s="14"/>
    </row>
    <row r="234" spans="9:10" x14ac:dyDescent="0.2">
      <c r="I234" s="14"/>
      <c r="J234" s="14"/>
    </row>
    <row r="235" spans="9:10" x14ac:dyDescent="0.2">
      <c r="I235" s="14"/>
      <c r="J235" s="14"/>
    </row>
    <row r="236" spans="9:10" x14ac:dyDescent="0.2">
      <c r="I236" s="14"/>
      <c r="J236" s="14"/>
    </row>
    <row r="237" spans="9:10" x14ac:dyDescent="0.2">
      <c r="I237" s="14"/>
      <c r="J237" s="14"/>
    </row>
    <row r="238" spans="9:10" x14ac:dyDescent="0.2">
      <c r="I238" s="14"/>
      <c r="J238" s="14"/>
    </row>
    <row r="239" spans="9:10" x14ac:dyDescent="0.2">
      <c r="I239" s="14"/>
      <c r="J239" s="14"/>
    </row>
    <row r="240" spans="9:10" x14ac:dyDescent="0.2">
      <c r="I240" s="14"/>
      <c r="J240" s="14"/>
    </row>
    <row r="241" spans="9:10" x14ac:dyDescent="0.2">
      <c r="I241" s="14"/>
      <c r="J241" s="14"/>
    </row>
    <row r="242" spans="9:10" x14ac:dyDescent="0.2">
      <c r="I242" s="14"/>
      <c r="J242" s="14"/>
    </row>
    <row r="243" spans="9:10" x14ac:dyDescent="0.2">
      <c r="I243" s="14"/>
      <c r="J243" s="14"/>
    </row>
    <row r="244" spans="9:10" x14ac:dyDescent="0.2">
      <c r="I244" s="14"/>
      <c r="J244" s="14"/>
    </row>
    <row r="245" spans="9:10" x14ac:dyDescent="0.2">
      <c r="I245" s="14"/>
      <c r="J245" s="14"/>
    </row>
    <row r="246" spans="9:10" x14ac:dyDescent="0.2">
      <c r="I246" s="14"/>
      <c r="J246" s="14"/>
    </row>
    <row r="247" spans="9:10" x14ac:dyDescent="0.2">
      <c r="I247" s="14"/>
      <c r="J247" s="14"/>
    </row>
    <row r="248" spans="9:10" x14ac:dyDescent="0.2">
      <c r="I248" s="14"/>
      <c r="J248" s="14"/>
    </row>
    <row r="249" spans="9:10" x14ac:dyDescent="0.2">
      <c r="I249" s="14"/>
      <c r="J249" s="14"/>
    </row>
    <row r="250" spans="9:10" x14ac:dyDescent="0.2">
      <c r="I250" s="14"/>
      <c r="J250" s="14"/>
    </row>
    <row r="251" spans="9:10" x14ac:dyDescent="0.2">
      <c r="I251" s="14"/>
      <c r="J251" s="14"/>
    </row>
    <row r="254" spans="9:10" x14ac:dyDescent="0.2">
      <c r="I254" s="14"/>
      <c r="J254" s="14"/>
    </row>
    <row r="255" spans="9:10" x14ac:dyDescent="0.2">
      <c r="I255" s="14"/>
      <c r="J255" s="14"/>
    </row>
    <row r="256" spans="9:10" x14ac:dyDescent="0.2">
      <c r="I256" s="14"/>
      <c r="J256" s="14"/>
    </row>
    <row r="257" spans="9:10" x14ac:dyDescent="0.2">
      <c r="I257" s="14"/>
      <c r="J257" s="14"/>
    </row>
    <row r="258" spans="9:10" x14ac:dyDescent="0.2">
      <c r="I258" s="14"/>
      <c r="J258" s="14"/>
    </row>
    <row r="259" spans="9:10" x14ac:dyDescent="0.2">
      <c r="I259" s="14"/>
      <c r="J259" s="14"/>
    </row>
    <row r="260" spans="9:10" x14ac:dyDescent="0.2">
      <c r="I260" s="14"/>
      <c r="J260" s="14"/>
    </row>
    <row r="261" spans="9:10" x14ac:dyDescent="0.2">
      <c r="I261" s="14"/>
      <c r="J261" s="14"/>
    </row>
    <row r="262" spans="9:10" x14ac:dyDescent="0.2">
      <c r="I262" s="14"/>
      <c r="J262" s="14"/>
    </row>
    <row r="263" spans="9:10" x14ac:dyDescent="0.2">
      <c r="I263" s="14"/>
      <c r="J263" s="14"/>
    </row>
    <row r="264" spans="9:10" x14ac:dyDescent="0.2">
      <c r="I264" s="14"/>
      <c r="J264" s="14"/>
    </row>
    <row r="265" spans="9:10" x14ac:dyDescent="0.2">
      <c r="I265" s="14"/>
      <c r="J265" s="14"/>
    </row>
    <row r="266" spans="9:10" x14ac:dyDescent="0.2">
      <c r="I266" s="14"/>
      <c r="J266" s="14"/>
    </row>
    <row r="267" spans="9:10" x14ac:dyDescent="0.2">
      <c r="I267" s="14"/>
      <c r="J267" s="14"/>
    </row>
    <row r="268" spans="9:10" x14ac:dyDescent="0.2">
      <c r="I268" s="14"/>
      <c r="J268" s="14"/>
    </row>
    <row r="269" spans="9:10" x14ac:dyDescent="0.2">
      <c r="I269" s="14"/>
      <c r="J269" s="14"/>
    </row>
    <row r="270" spans="9:10" x14ac:dyDescent="0.2">
      <c r="I270" s="14"/>
      <c r="J270" s="14"/>
    </row>
    <row r="271" spans="9:10" x14ac:dyDescent="0.2">
      <c r="I271" s="14"/>
      <c r="J271" s="14"/>
    </row>
    <row r="272" spans="9:10" x14ac:dyDescent="0.2">
      <c r="I272" s="14"/>
      <c r="J272" s="14"/>
    </row>
  </sheetData>
  <mergeCells count="5">
    <mergeCell ref="AS2:AT2"/>
    <mergeCell ref="BO2:BQ2"/>
    <mergeCell ref="BR2:BT2"/>
    <mergeCell ref="BU2:BW2"/>
    <mergeCell ref="CH1:CJ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P160"/>
  <sheetViews>
    <sheetView tabSelected="1" topLeftCell="AX1" zoomScale="115" workbookViewId="0">
      <selection activeCell="BK15" sqref="BK15"/>
    </sheetView>
  </sheetViews>
  <sheetFormatPr baseColWidth="10" defaultColWidth="8.83203125" defaultRowHeight="15" x14ac:dyDescent="0.2"/>
  <cols>
    <col min="1" max="3" width="16.1640625" style="3" customWidth="1"/>
    <col min="4" max="4" width="16.1640625" style="5" customWidth="1"/>
    <col min="5" max="5" width="16.1640625" style="3" customWidth="1"/>
    <col min="6" max="6" width="45.5" style="3" bestFit="1" customWidth="1"/>
    <col min="7" max="7" width="8.33203125" style="3" bestFit="1" customWidth="1"/>
    <col min="8" max="8" width="12.6640625" style="6" customWidth="1"/>
    <col min="9" max="9" width="14.83203125" style="3" customWidth="1"/>
    <col min="10" max="10" width="9.33203125" style="3" bestFit="1" customWidth="1"/>
    <col min="11" max="11" width="6.5" style="3" bestFit="1" customWidth="1"/>
    <col min="12" max="12" width="9.5" style="3" bestFit="1" customWidth="1"/>
    <col min="13" max="13" width="10.33203125" style="3" bestFit="1" customWidth="1"/>
    <col min="14" max="14" width="7.6640625" style="3" bestFit="1" customWidth="1"/>
    <col min="15" max="15" width="13.6640625" style="3" bestFit="1" customWidth="1"/>
    <col min="16" max="16" width="11.33203125" style="3" customWidth="1"/>
    <col min="17" max="17" width="13.33203125" style="3" bestFit="1" customWidth="1"/>
    <col min="18" max="18" width="12" style="3" customWidth="1"/>
    <col min="19" max="19" width="6.33203125" style="3" bestFit="1" customWidth="1"/>
    <col min="20" max="20" width="8" style="3" bestFit="1" customWidth="1"/>
    <col min="21" max="21" width="9.83203125" style="3" bestFit="1" customWidth="1"/>
    <col min="22" max="22" width="4.6640625" style="3" bestFit="1" customWidth="1"/>
    <col min="23" max="23" width="14.6640625" style="3" bestFit="1" customWidth="1"/>
    <col min="24" max="24" width="7.83203125" style="7" customWidth="1"/>
    <col min="25" max="25" width="8" style="3" customWidth="1"/>
    <col min="26" max="26" width="11.1640625" style="7" bestFit="1" customWidth="1"/>
    <col min="27" max="27" width="11.33203125" style="3" customWidth="1"/>
    <col min="28" max="28" width="9" style="3" bestFit="1" customWidth="1"/>
    <col min="29" max="29" width="10" style="3" bestFit="1" customWidth="1"/>
    <col min="30" max="32" width="7" style="3" bestFit="1" customWidth="1"/>
    <col min="33" max="33" width="12.5" style="3" bestFit="1" customWidth="1"/>
    <col min="34" max="34" width="6.6640625" style="3" customWidth="1"/>
    <col min="35" max="35" width="6.83203125" style="3" customWidth="1"/>
    <col min="36" max="36" width="10" style="3" bestFit="1" customWidth="1"/>
    <col min="37" max="37" width="6.5" style="3" customWidth="1"/>
    <col min="38" max="38" width="9.83203125" style="3" customWidth="1"/>
    <col min="39" max="41" width="7.5" style="3" customWidth="1"/>
    <col min="42" max="42" width="6.5" style="3" customWidth="1"/>
    <col min="43" max="44" width="6.33203125" style="3" customWidth="1"/>
    <col min="45" max="45" width="6" style="3" customWidth="1"/>
    <col min="46" max="47" width="5.83203125" style="3" customWidth="1"/>
    <col min="48" max="48" width="15.1640625" style="3" bestFit="1" customWidth="1"/>
    <col min="49" max="50" width="14.1640625" style="3" customWidth="1"/>
    <col min="51" max="51" width="10.5" style="3" bestFit="1" customWidth="1"/>
    <col min="52" max="52" width="38.1640625" style="3" bestFit="1" customWidth="1"/>
    <col min="53" max="53" width="10.6640625" style="3" bestFit="1" customWidth="1"/>
    <col min="54" max="54" width="38.1640625" style="3" bestFit="1" customWidth="1"/>
    <col min="55" max="55" width="4.1640625" style="3" customWidth="1"/>
    <col min="56" max="56" width="9.83203125" style="3" bestFit="1" customWidth="1"/>
    <col min="57" max="57" width="16.1640625" style="3" customWidth="1"/>
    <col min="58" max="58" width="8.83203125" style="3"/>
    <col min="59" max="59" width="8.83203125" style="7"/>
    <col min="60" max="66" width="8.83203125" style="3"/>
    <col min="67" max="67" width="16.1640625" style="3" customWidth="1"/>
    <col min="68" max="16384" width="8.83203125" style="3"/>
  </cols>
  <sheetData>
    <row r="1" spans="1:67" x14ac:dyDescent="0.2">
      <c r="AC1" s="9" t="s">
        <v>109</v>
      </c>
      <c r="BF1" s="20" t="s">
        <v>4711</v>
      </c>
      <c r="BG1" s="20"/>
      <c r="BH1" s="20"/>
    </row>
    <row r="2" spans="1:67" x14ac:dyDescent="0.2">
      <c r="A2" s="12" t="s">
        <v>75</v>
      </c>
      <c r="B2" s="12"/>
      <c r="C2" s="12"/>
      <c r="D2" s="9"/>
      <c r="E2" s="12"/>
      <c r="AC2" s="9" t="s">
        <v>77</v>
      </c>
      <c r="AK2" s="13" t="s">
        <v>78</v>
      </c>
      <c r="AL2" s="13"/>
      <c r="AM2" s="13" t="s">
        <v>79</v>
      </c>
      <c r="AN2" s="13"/>
      <c r="AO2" s="13"/>
      <c r="AP2" s="13" t="s">
        <v>80</v>
      </c>
      <c r="AQ2" s="13"/>
      <c r="AR2" s="13"/>
      <c r="AS2" s="13" t="s">
        <v>81</v>
      </c>
      <c r="AT2" s="13"/>
      <c r="AU2" s="13"/>
      <c r="BE2" s="12" t="s">
        <v>75</v>
      </c>
      <c r="BF2" s="20"/>
      <c r="BG2" s="20"/>
      <c r="BH2" s="20"/>
      <c r="BO2" s="12" t="s">
        <v>75</v>
      </c>
    </row>
    <row r="3" spans="1:67" x14ac:dyDescent="0.2">
      <c r="BF3" s="20"/>
      <c r="BG3" s="20"/>
      <c r="BH3" s="20"/>
      <c r="BK3" s="5"/>
    </row>
    <row r="4" spans="1:67" ht="17" x14ac:dyDescent="0.2">
      <c r="A4" s="3" t="s">
        <v>0</v>
      </c>
      <c r="B4" s="3" t="s">
        <v>4728</v>
      </c>
      <c r="C4" s="3" t="s">
        <v>4729</v>
      </c>
      <c r="D4" s="5" t="s">
        <v>4730</v>
      </c>
      <c r="F4" s="5" t="s">
        <v>51</v>
      </c>
      <c r="G4" s="3" t="s">
        <v>1</v>
      </c>
      <c r="H4" s="6" t="s">
        <v>2</v>
      </c>
      <c r="I4" s="3" t="s">
        <v>3</v>
      </c>
      <c r="J4" s="3" t="s">
        <v>4</v>
      </c>
      <c r="K4" s="3" t="s">
        <v>5</v>
      </c>
      <c r="L4" s="3" t="s">
        <v>6</v>
      </c>
      <c r="M4" s="3" t="s">
        <v>7</v>
      </c>
      <c r="N4" s="3" t="s">
        <v>8</v>
      </c>
      <c r="O4" s="3" t="s">
        <v>9</v>
      </c>
      <c r="P4" s="3" t="s">
        <v>52</v>
      </c>
      <c r="Q4" s="3" t="s">
        <v>10</v>
      </c>
      <c r="R4" s="3" t="s">
        <v>11</v>
      </c>
      <c r="S4" s="3" t="s">
        <v>12</v>
      </c>
      <c r="T4" s="3" t="s">
        <v>13</v>
      </c>
      <c r="U4" s="3" t="s">
        <v>14</v>
      </c>
      <c r="V4" s="3" t="s">
        <v>15</v>
      </c>
      <c r="W4" s="3" t="s">
        <v>16</v>
      </c>
      <c r="X4" s="7" t="s">
        <v>4713</v>
      </c>
      <c r="Y4" s="3" t="s">
        <v>54</v>
      </c>
      <c r="Z4" s="7" t="s">
        <v>17</v>
      </c>
      <c r="AA4" s="3" t="s">
        <v>55</v>
      </c>
      <c r="AB4" s="3" t="s">
        <v>22</v>
      </c>
      <c r="AC4" s="3" t="s">
        <v>23</v>
      </c>
      <c r="AD4" s="3" t="s">
        <v>24</v>
      </c>
      <c r="AE4" s="3" t="s">
        <v>25</v>
      </c>
      <c r="AF4" s="3" t="s">
        <v>26</v>
      </c>
      <c r="AG4" s="3" t="s">
        <v>27</v>
      </c>
      <c r="AH4" s="3" t="s">
        <v>59</v>
      </c>
      <c r="AI4" s="3" t="s">
        <v>60</v>
      </c>
      <c r="AJ4" s="3" t="s">
        <v>28</v>
      </c>
      <c r="AK4" s="3" t="s">
        <v>61</v>
      </c>
      <c r="AL4" s="3" t="s">
        <v>62</v>
      </c>
      <c r="AM4" s="3" t="s">
        <v>66</v>
      </c>
      <c r="AN4" s="3" t="s">
        <v>67</v>
      </c>
      <c r="AO4" s="3" t="s">
        <v>68</v>
      </c>
      <c r="AP4" s="3" t="s">
        <v>69</v>
      </c>
      <c r="AQ4" s="3" t="s">
        <v>70</v>
      </c>
      <c r="AR4" s="3" t="s">
        <v>71</v>
      </c>
      <c r="AS4" s="3" t="s">
        <v>72</v>
      </c>
      <c r="AT4" s="3" t="s">
        <v>73</v>
      </c>
      <c r="AU4" s="3" t="s">
        <v>74</v>
      </c>
      <c r="AV4" s="3" t="s">
        <v>42</v>
      </c>
      <c r="AW4" s="3" t="s">
        <v>43</v>
      </c>
      <c r="AX4" s="3" t="s">
        <v>44</v>
      </c>
      <c r="AY4" s="3" t="s">
        <v>45</v>
      </c>
      <c r="AZ4" s="3" t="s">
        <v>46</v>
      </c>
      <c r="BA4" s="3" t="s">
        <v>47</v>
      </c>
      <c r="BB4" s="3" t="s">
        <v>48</v>
      </c>
      <c r="BC4" s="3" t="s">
        <v>49</v>
      </c>
      <c r="BD4" s="3" t="s">
        <v>50</v>
      </c>
      <c r="BE4" s="3" t="s">
        <v>0</v>
      </c>
      <c r="BF4" s="20"/>
      <c r="BG4" s="20"/>
      <c r="BH4" s="20"/>
      <c r="BO4" s="3" t="s">
        <v>0</v>
      </c>
    </row>
    <row r="5" spans="1:67" ht="16" x14ac:dyDescent="0.2">
      <c r="A5" s="3" t="s">
        <v>3367</v>
      </c>
      <c r="B5" s="4" t="s">
        <v>4726</v>
      </c>
      <c r="C5" s="4">
        <v>12</v>
      </c>
      <c r="D5" s="5" t="s">
        <v>4732</v>
      </c>
      <c r="F5" s="3" t="s">
        <v>4710</v>
      </c>
      <c r="G5" s="3">
        <v>18047</v>
      </c>
      <c r="H5" s="6">
        <v>45156.545138888891</v>
      </c>
      <c r="I5" s="14">
        <v>45168.725694444445</v>
      </c>
      <c r="J5" s="3" t="s">
        <v>897</v>
      </c>
      <c r="K5" s="3" t="s">
        <v>111</v>
      </c>
      <c r="L5" s="3" t="s">
        <v>111</v>
      </c>
      <c r="M5" s="3" t="s">
        <v>111</v>
      </c>
      <c r="N5" s="3" t="s">
        <v>112</v>
      </c>
      <c r="O5" s="3" t="s">
        <v>113</v>
      </c>
      <c r="P5" s="3" t="s">
        <v>113</v>
      </c>
      <c r="Q5" s="3">
        <v>0</v>
      </c>
      <c r="R5" s="3" t="s">
        <v>113</v>
      </c>
      <c r="S5" s="3">
        <v>0.8</v>
      </c>
      <c r="T5" s="3">
        <v>1</v>
      </c>
      <c r="U5" s="3">
        <v>270</v>
      </c>
      <c r="V5" s="3">
        <v>6</v>
      </c>
      <c r="W5" s="3">
        <v>8847</v>
      </c>
      <c r="X5" s="7">
        <v>5.0503</v>
      </c>
      <c r="Y5" s="3">
        <v>1.7779</v>
      </c>
      <c r="Z5" s="7">
        <v>0.35199999999999998</v>
      </c>
      <c r="AB5" s="3">
        <v>364.63580000000002</v>
      </c>
      <c r="AC5" s="3">
        <v>1008.0612</v>
      </c>
      <c r="AD5" s="3" t="s">
        <v>113</v>
      </c>
      <c r="AE5" s="3" t="s">
        <v>113</v>
      </c>
      <c r="AF5" s="3" t="s">
        <v>113</v>
      </c>
      <c r="AG5" s="3" t="s">
        <v>131</v>
      </c>
      <c r="AH5" s="3" t="s">
        <v>113</v>
      </c>
      <c r="AI5" s="3" t="s">
        <v>113</v>
      </c>
      <c r="AJ5" s="3" t="s">
        <v>113</v>
      </c>
      <c r="AK5" s="3" t="s">
        <v>113</v>
      </c>
      <c r="AL5" s="3" t="s">
        <v>113</v>
      </c>
      <c r="AM5" s="3">
        <v>1.0500000000000001E-2</v>
      </c>
      <c r="AN5" s="3">
        <v>1.0500000000000001E-2</v>
      </c>
      <c r="AO5" s="3">
        <v>1.0500000000000001E-2</v>
      </c>
      <c r="AP5" s="3">
        <v>372</v>
      </c>
      <c r="AQ5" s="3">
        <v>360</v>
      </c>
      <c r="AR5" s="3">
        <v>76</v>
      </c>
      <c r="AS5" s="3">
        <v>1124</v>
      </c>
      <c r="AT5" s="3">
        <v>1065</v>
      </c>
      <c r="AU5" s="3">
        <v>427</v>
      </c>
      <c r="AV5" s="3">
        <v>950</v>
      </c>
      <c r="AW5" s="3" t="s">
        <v>111</v>
      </c>
      <c r="AX5" s="3" t="s">
        <v>153</v>
      </c>
      <c r="AY5" s="3">
        <v>0</v>
      </c>
      <c r="AZ5" s="3" t="s">
        <v>111</v>
      </c>
      <c r="BA5" s="3" t="s">
        <v>111</v>
      </c>
      <c r="BB5" s="3" t="s">
        <v>925</v>
      </c>
      <c r="BC5" s="3" t="s">
        <v>111</v>
      </c>
      <c r="BD5" s="3">
        <v>5022</v>
      </c>
      <c r="BE5" s="3" t="s">
        <v>3367</v>
      </c>
      <c r="BG5" s="7">
        <f t="shared" ref="BG5:BG13" si="0">AO5*AR5</f>
        <v>0.79800000000000004</v>
      </c>
      <c r="BK5" s="5"/>
      <c r="BO5" s="3" t="s">
        <v>3367</v>
      </c>
    </row>
    <row r="6" spans="1:67" ht="16" x14ac:dyDescent="0.2">
      <c r="A6" s="3" t="s">
        <v>3368</v>
      </c>
      <c r="B6" s="5" t="s">
        <v>4726</v>
      </c>
      <c r="C6" s="4">
        <v>12</v>
      </c>
      <c r="D6" s="5" t="s">
        <v>4732</v>
      </c>
      <c r="F6" s="3" t="s">
        <v>4710</v>
      </c>
      <c r="G6" s="3">
        <v>18048</v>
      </c>
      <c r="H6" s="6">
        <v>45156.563194444447</v>
      </c>
      <c r="I6" s="14">
        <v>45168.747916666667</v>
      </c>
      <c r="J6" s="3" t="s">
        <v>957</v>
      </c>
      <c r="K6" s="3" t="s">
        <v>111</v>
      </c>
      <c r="L6" s="3" t="s">
        <v>111</v>
      </c>
      <c r="M6" s="3" t="s">
        <v>111</v>
      </c>
      <c r="N6" s="3" t="s">
        <v>112</v>
      </c>
      <c r="O6" s="3" t="s">
        <v>113</v>
      </c>
      <c r="P6" s="3" t="s">
        <v>113</v>
      </c>
      <c r="Q6" s="3">
        <v>0</v>
      </c>
      <c r="R6" s="3" t="s">
        <v>113</v>
      </c>
      <c r="S6" s="3">
        <v>0.8</v>
      </c>
      <c r="T6" s="3">
        <v>1</v>
      </c>
      <c r="U6" s="3">
        <v>270</v>
      </c>
      <c r="V6" s="3">
        <v>6</v>
      </c>
      <c r="W6" s="3">
        <v>8847</v>
      </c>
      <c r="X6" s="7">
        <v>5.4241000000000001</v>
      </c>
      <c r="Y6" s="3">
        <v>2.0406</v>
      </c>
      <c r="Z6" s="7">
        <v>0.37619999999999998</v>
      </c>
      <c r="AB6" s="3">
        <v>377.2833</v>
      </c>
      <c r="AC6" s="3">
        <v>991.41600000000005</v>
      </c>
      <c r="AD6" s="3" t="s">
        <v>113</v>
      </c>
      <c r="AE6" s="3" t="s">
        <v>113</v>
      </c>
      <c r="AF6" s="3" t="s">
        <v>113</v>
      </c>
      <c r="AG6" s="3" t="s">
        <v>131</v>
      </c>
      <c r="AH6" s="3" t="s">
        <v>113</v>
      </c>
      <c r="AI6" s="3" t="s">
        <v>113</v>
      </c>
      <c r="AJ6" s="3" t="s">
        <v>113</v>
      </c>
      <c r="AK6" s="3" t="s">
        <v>113</v>
      </c>
      <c r="AL6" s="3" t="s">
        <v>113</v>
      </c>
      <c r="AM6" s="3">
        <v>1.0500000000000001E-2</v>
      </c>
      <c r="AN6" s="3">
        <v>1.0500000000000001E-2</v>
      </c>
      <c r="AO6" s="3">
        <v>1.0500000000000001E-2</v>
      </c>
      <c r="AP6" s="3">
        <v>312</v>
      </c>
      <c r="AQ6" s="3">
        <v>380</v>
      </c>
      <c r="AR6" s="3">
        <v>76</v>
      </c>
      <c r="AS6" s="3">
        <v>1097</v>
      </c>
      <c r="AT6" s="3">
        <v>1326</v>
      </c>
      <c r="AU6" s="3">
        <v>728</v>
      </c>
      <c r="AV6" s="3">
        <v>1110</v>
      </c>
      <c r="AW6" s="3" t="s">
        <v>111</v>
      </c>
      <c r="AX6" s="3" t="s">
        <v>153</v>
      </c>
      <c r="AY6" s="3">
        <v>0</v>
      </c>
      <c r="AZ6" s="3" t="s">
        <v>111</v>
      </c>
      <c r="BA6" s="3" t="s">
        <v>111</v>
      </c>
      <c r="BB6" s="3" t="s">
        <v>988</v>
      </c>
      <c r="BC6" s="3" t="s">
        <v>111</v>
      </c>
      <c r="BD6" s="3">
        <v>5022</v>
      </c>
      <c r="BE6" s="3" t="s">
        <v>3368</v>
      </c>
      <c r="BG6" s="7">
        <f t="shared" si="0"/>
        <v>0.79800000000000004</v>
      </c>
      <c r="BK6" s="5"/>
      <c r="BO6" s="3" t="s">
        <v>3368</v>
      </c>
    </row>
    <row r="7" spans="1:67" ht="16" x14ac:dyDescent="0.2">
      <c r="A7" s="3" t="s">
        <v>3369</v>
      </c>
      <c r="B7" s="4" t="s">
        <v>4726</v>
      </c>
      <c r="C7" s="4">
        <v>12</v>
      </c>
      <c r="D7" s="5" t="s">
        <v>4732</v>
      </c>
      <c r="F7" s="3" t="s">
        <v>4710</v>
      </c>
      <c r="G7" s="3">
        <v>18049</v>
      </c>
      <c r="H7" s="6">
        <v>45156.543055555558</v>
      </c>
      <c r="I7" s="14">
        <v>45168.763194444444</v>
      </c>
      <c r="J7" s="3" t="s">
        <v>1017</v>
      </c>
      <c r="K7" s="3" t="s">
        <v>111</v>
      </c>
      <c r="L7" s="3" t="s">
        <v>111</v>
      </c>
      <c r="M7" s="3" t="s">
        <v>111</v>
      </c>
      <c r="N7" s="3" t="s">
        <v>112</v>
      </c>
      <c r="O7" s="3" t="s">
        <v>113</v>
      </c>
      <c r="P7" s="3" t="s">
        <v>113</v>
      </c>
      <c r="Q7" s="3">
        <v>0</v>
      </c>
      <c r="R7" s="3" t="s">
        <v>113</v>
      </c>
      <c r="S7" s="3">
        <v>0.8</v>
      </c>
      <c r="T7" s="3">
        <v>1</v>
      </c>
      <c r="U7" s="3">
        <v>270</v>
      </c>
      <c r="V7" s="3">
        <v>6</v>
      </c>
      <c r="W7" s="3">
        <v>8847</v>
      </c>
      <c r="X7" s="7">
        <v>4.4261999999999997</v>
      </c>
      <c r="Y7" s="3">
        <v>1.8181</v>
      </c>
      <c r="Z7" s="7">
        <v>0.41070000000000001</v>
      </c>
      <c r="AB7" s="3">
        <v>428.45499999999998</v>
      </c>
      <c r="AC7" s="3">
        <v>994.178</v>
      </c>
      <c r="AD7" s="3" t="s">
        <v>113</v>
      </c>
      <c r="AE7" s="3" t="s">
        <v>113</v>
      </c>
      <c r="AF7" s="3" t="s">
        <v>113</v>
      </c>
      <c r="AG7" s="3" t="s">
        <v>131</v>
      </c>
      <c r="AH7" s="3" t="s">
        <v>113</v>
      </c>
      <c r="AI7" s="3" t="s">
        <v>113</v>
      </c>
      <c r="AJ7" s="3" t="s">
        <v>113</v>
      </c>
      <c r="AK7" s="3" t="s">
        <v>113</v>
      </c>
      <c r="AL7" s="3" t="s">
        <v>113</v>
      </c>
      <c r="AM7" s="3">
        <v>1.0500000000000001E-2</v>
      </c>
      <c r="AN7" s="3">
        <v>1.0500000000000001E-2</v>
      </c>
      <c r="AO7" s="3">
        <v>1.0500000000000001E-2</v>
      </c>
      <c r="AP7" s="3">
        <v>336</v>
      </c>
      <c r="AQ7" s="3">
        <v>292</v>
      </c>
      <c r="AR7" s="3">
        <v>74</v>
      </c>
      <c r="AS7" s="3">
        <v>534</v>
      </c>
      <c r="AT7" s="3">
        <v>1366</v>
      </c>
      <c r="AU7" s="3">
        <v>819</v>
      </c>
      <c r="AV7" s="3">
        <v>1126</v>
      </c>
      <c r="AW7" s="3" t="s">
        <v>111</v>
      </c>
      <c r="AX7" s="3" t="s">
        <v>153</v>
      </c>
      <c r="AY7" s="3">
        <v>0</v>
      </c>
      <c r="AZ7" s="3" t="s">
        <v>111</v>
      </c>
      <c r="BA7" s="3" t="s">
        <v>111</v>
      </c>
      <c r="BB7" s="3" t="s">
        <v>1046</v>
      </c>
      <c r="BC7" s="3" t="s">
        <v>111</v>
      </c>
      <c r="BD7" s="3">
        <v>5022</v>
      </c>
      <c r="BE7" s="3" t="s">
        <v>3369</v>
      </c>
      <c r="BG7" s="7">
        <f t="shared" si="0"/>
        <v>0.77700000000000002</v>
      </c>
      <c r="BK7" s="5"/>
      <c r="BO7" s="3" t="s">
        <v>3369</v>
      </c>
    </row>
    <row r="8" spans="1:67" x14ac:dyDescent="0.2">
      <c r="A8" s="3" t="s">
        <v>3401</v>
      </c>
      <c r="B8" s="5" t="s">
        <v>4727</v>
      </c>
      <c r="C8" s="5">
        <v>10</v>
      </c>
      <c r="D8" s="5" t="s">
        <v>4732</v>
      </c>
      <c r="F8" s="3" t="s">
        <v>4710</v>
      </c>
      <c r="G8" s="3">
        <v>17302</v>
      </c>
      <c r="H8" s="6">
        <v>44747.53125</v>
      </c>
      <c r="I8" s="14">
        <v>45156.775000000001</v>
      </c>
      <c r="J8" s="3" t="s">
        <v>2591</v>
      </c>
      <c r="K8" s="3" t="s">
        <v>111</v>
      </c>
      <c r="L8" s="3" t="s">
        <v>111</v>
      </c>
      <c r="M8" s="3" t="s">
        <v>111</v>
      </c>
      <c r="N8" s="3" t="s">
        <v>112</v>
      </c>
      <c r="O8" s="3" t="s">
        <v>2165</v>
      </c>
      <c r="P8" s="3" t="s">
        <v>2166</v>
      </c>
      <c r="Q8" s="3">
        <v>36</v>
      </c>
      <c r="R8" s="3" t="s">
        <v>2167</v>
      </c>
      <c r="S8" s="3">
        <v>0.8</v>
      </c>
      <c r="T8" s="3">
        <v>1</v>
      </c>
      <c r="U8" s="3">
        <v>270</v>
      </c>
      <c r="V8" s="3">
        <v>6</v>
      </c>
      <c r="W8" s="3">
        <v>8847</v>
      </c>
      <c r="X8" s="7">
        <v>4.5347</v>
      </c>
      <c r="Y8" s="3">
        <v>1.7053</v>
      </c>
      <c r="Z8" s="7">
        <v>0.37609999999999999</v>
      </c>
      <c r="AA8" s="3" t="s">
        <v>113</v>
      </c>
      <c r="AB8" s="3">
        <v>385.64229999999998</v>
      </c>
      <c r="AC8" s="3">
        <v>970.99090000000001</v>
      </c>
      <c r="AD8" s="3" t="s">
        <v>113</v>
      </c>
      <c r="AE8" s="3" t="s">
        <v>113</v>
      </c>
      <c r="AF8" s="3" t="s">
        <v>113</v>
      </c>
      <c r="AG8" s="3" t="s">
        <v>131</v>
      </c>
      <c r="AH8" s="3" t="s">
        <v>113</v>
      </c>
      <c r="AI8" s="3" t="s">
        <v>113</v>
      </c>
      <c r="AJ8" s="3" t="s">
        <v>113</v>
      </c>
      <c r="AK8" s="3" t="s">
        <v>113</v>
      </c>
      <c r="AL8" s="3" t="s">
        <v>113</v>
      </c>
      <c r="AM8" s="3">
        <v>1.0500000000000001E-2</v>
      </c>
      <c r="AN8" s="3">
        <v>1.0500000000000001E-2</v>
      </c>
      <c r="AO8" s="3">
        <v>1.0500000000000001E-2</v>
      </c>
      <c r="AP8" s="3">
        <v>332</v>
      </c>
      <c r="AQ8" s="3">
        <v>340</v>
      </c>
      <c r="AR8" s="3">
        <v>76</v>
      </c>
      <c r="AS8" s="3">
        <v>1157</v>
      </c>
      <c r="AT8" s="3">
        <v>1161</v>
      </c>
      <c r="AU8" s="3">
        <v>567</v>
      </c>
      <c r="AV8" s="3">
        <v>1685</v>
      </c>
      <c r="AW8" s="3" t="s">
        <v>153</v>
      </c>
      <c r="AX8" s="3" t="s">
        <v>153</v>
      </c>
      <c r="AY8" s="3">
        <v>0</v>
      </c>
      <c r="AZ8" s="3" t="s">
        <v>2593</v>
      </c>
      <c r="BA8" s="3" t="s">
        <v>111</v>
      </c>
      <c r="BB8" s="3" t="s">
        <v>2593</v>
      </c>
      <c r="BC8" s="3" t="s">
        <v>111</v>
      </c>
      <c r="BD8" s="3">
        <v>5022</v>
      </c>
      <c r="BE8" s="3" t="s">
        <v>3401</v>
      </c>
      <c r="BG8" s="7">
        <f t="shared" si="0"/>
        <v>0.79800000000000004</v>
      </c>
      <c r="BK8" s="5"/>
      <c r="BO8" s="3" t="s">
        <v>3401</v>
      </c>
    </row>
    <row r="9" spans="1:67" x14ac:dyDescent="0.2">
      <c r="A9" s="3" t="s">
        <v>3402</v>
      </c>
      <c r="B9" s="5" t="s">
        <v>4727</v>
      </c>
      <c r="C9" s="5">
        <v>10</v>
      </c>
      <c r="D9" s="5" t="s">
        <v>4732</v>
      </c>
      <c r="F9" s="3" t="s">
        <v>4710</v>
      </c>
      <c r="G9" s="3">
        <v>17302</v>
      </c>
      <c r="H9" s="6">
        <v>44747.53125</v>
      </c>
      <c r="I9" s="14">
        <v>45156.777083333334</v>
      </c>
      <c r="J9" s="3" t="s">
        <v>2591</v>
      </c>
      <c r="K9" s="3" t="s">
        <v>111</v>
      </c>
      <c r="L9" s="3" t="s">
        <v>111</v>
      </c>
      <c r="M9" s="3" t="s">
        <v>111</v>
      </c>
      <c r="N9" s="3" t="s">
        <v>112</v>
      </c>
      <c r="O9" s="3" t="s">
        <v>2165</v>
      </c>
      <c r="P9" s="3" t="s">
        <v>2166</v>
      </c>
      <c r="Q9" s="3">
        <v>36</v>
      </c>
      <c r="R9" s="3" t="s">
        <v>2167</v>
      </c>
      <c r="S9" s="3">
        <v>0.8</v>
      </c>
      <c r="T9" s="3">
        <v>1</v>
      </c>
      <c r="U9" s="3">
        <v>270</v>
      </c>
      <c r="V9" s="3">
        <v>6</v>
      </c>
      <c r="W9" s="3">
        <v>8847</v>
      </c>
      <c r="X9" s="7">
        <v>5.7827999999999999</v>
      </c>
      <c r="Y9" s="3">
        <v>2.3368000000000002</v>
      </c>
      <c r="Z9" s="7">
        <v>0.40410000000000001</v>
      </c>
      <c r="AA9" s="3" t="s">
        <v>113</v>
      </c>
      <c r="AB9" s="3">
        <v>414.3537</v>
      </c>
      <c r="AC9" s="3">
        <v>990.90719999999999</v>
      </c>
      <c r="AD9" s="3" t="s">
        <v>113</v>
      </c>
      <c r="AE9" s="3" t="s">
        <v>113</v>
      </c>
      <c r="AF9" s="3" t="s">
        <v>113</v>
      </c>
      <c r="AG9" s="3" t="s">
        <v>131</v>
      </c>
      <c r="AH9" s="3" t="s">
        <v>113</v>
      </c>
      <c r="AI9" s="3" t="s">
        <v>113</v>
      </c>
      <c r="AJ9" s="3" t="s">
        <v>113</v>
      </c>
      <c r="AK9" s="3" t="s">
        <v>113</v>
      </c>
      <c r="AL9" s="3" t="s">
        <v>113</v>
      </c>
      <c r="AM9" s="3">
        <v>1.0500000000000001E-2</v>
      </c>
      <c r="AN9" s="3">
        <v>1.0500000000000001E-2</v>
      </c>
      <c r="AO9" s="3">
        <v>1.0500000000000001E-2</v>
      </c>
      <c r="AP9" s="3">
        <v>368</v>
      </c>
      <c r="AQ9" s="3">
        <v>384</v>
      </c>
      <c r="AR9" s="3">
        <v>82</v>
      </c>
      <c r="AS9" s="3">
        <v>910</v>
      </c>
      <c r="AT9" s="3">
        <v>1461</v>
      </c>
      <c r="AU9" s="3">
        <v>390</v>
      </c>
      <c r="AV9" s="3">
        <v>1685</v>
      </c>
      <c r="AW9" s="3" t="s">
        <v>153</v>
      </c>
      <c r="AX9" s="3" t="s">
        <v>153</v>
      </c>
      <c r="AY9" s="3">
        <v>0</v>
      </c>
      <c r="AZ9" s="3" t="s">
        <v>2593</v>
      </c>
      <c r="BA9" s="3" t="s">
        <v>111</v>
      </c>
      <c r="BB9" s="3" t="s">
        <v>2593</v>
      </c>
      <c r="BC9" s="3" t="s">
        <v>111</v>
      </c>
      <c r="BD9" s="3">
        <v>5022</v>
      </c>
      <c r="BE9" s="3" t="s">
        <v>3402</v>
      </c>
      <c r="BG9" s="7">
        <f t="shared" si="0"/>
        <v>0.8610000000000001</v>
      </c>
      <c r="BK9" s="5"/>
      <c r="BO9" s="3" t="s">
        <v>3402</v>
      </c>
    </row>
    <row r="10" spans="1:67" x14ac:dyDescent="0.2">
      <c r="A10" s="3" t="s">
        <v>3403</v>
      </c>
      <c r="B10" s="5" t="s">
        <v>4727</v>
      </c>
      <c r="C10" s="5">
        <v>12</v>
      </c>
      <c r="D10" s="5" t="s">
        <v>4732</v>
      </c>
      <c r="F10" s="3" t="s">
        <v>4710</v>
      </c>
      <c r="G10" s="3">
        <v>17302</v>
      </c>
      <c r="H10" s="6">
        <v>44747.53125</v>
      </c>
      <c r="I10" s="14">
        <v>45156.779166666667</v>
      </c>
      <c r="J10" s="3" t="s">
        <v>2591</v>
      </c>
      <c r="K10" s="3" t="s">
        <v>111</v>
      </c>
      <c r="L10" s="3" t="s">
        <v>111</v>
      </c>
      <c r="M10" s="3" t="s">
        <v>111</v>
      </c>
      <c r="N10" s="3" t="s">
        <v>112</v>
      </c>
      <c r="O10" s="3" t="s">
        <v>2165</v>
      </c>
      <c r="P10" s="3" t="s">
        <v>2166</v>
      </c>
      <c r="Q10" s="3">
        <v>36</v>
      </c>
      <c r="R10" s="3" t="s">
        <v>2167</v>
      </c>
      <c r="S10" s="3">
        <v>0.8</v>
      </c>
      <c r="T10" s="3">
        <v>1</v>
      </c>
      <c r="U10" s="3">
        <v>270</v>
      </c>
      <c r="V10" s="3">
        <v>6</v>
      </c>
      <c r="W10" s="3">
        <v>8847</v>
      </c>
      <c r="X10" s="7">
        <v>6.5034000000000001</v>
      </c>
      <c r="Y10" s="3">
        <v>2.1034000000000002</v>
      </c>
      <c r="Z10" s="7">
        <v>0.32340000000000002</v>
      </c>
      <c r="AA10" s="3" t="s">
        <v>113</v>
      </c>
      <c r="AB10" s="3">
        <v>324.73070000000001</v>
      </c>
      <c r="AC10" s="3">
        <v>928.2509</v>
      </c>
      <c r="AD10" s="3" t="s">
        <v>113</v>
      </c>
      <c r="AE10" s="3" t="s">
        <v>113</v>
      </c>
      <c r="AF10" s="3" t="s">
        <v>113</v>
      </c>
      <c r="AG10" s="3" t="s">
        <v>131</v>
      </c>
      <c r="AH10" s="3" t="s">
        <v>113</v>
      </c>
      <c r="AI10" s="3" t="s">
        <v>113</v>
      </c>
      <c r="AJ10" s="3" t="s">
        <v>113</v>
      </c>
      <c r="AK10" s="3" t="s">
        <v>113</v>
      </c>
      <c r="AL10" s="3" t="s">
        <v>113</v>
      </c>
      <c r="AM10" s="3">
        <v>1.0500000000000001E-2</v>
      </c>
      <c r="AN10" s="3">
        <v>1.0500000000000001E-2</v>
      </c>
      <c r="AO10" s="3">
        <v>1.0500000000000001E-2</v>
      </c>
      <c r="AP10" s="3">
        <v>372</v>
      </c>
      <c r="AQ10" s="3">
        <v>348</v>
      </c>
      <c r="AR10" s="3">
        <v>83</v>
      </c>
      <c r="AS10" s="3">
        <v>350</v>
      </c>
      <c r="AT10" s="3">
        <v>1425</v>
      </c>
      <c r="AU10" s="3">
        <v>302</v>
      </c>
      <c r="AV10" s="3">
        <v>1685</v>
      </c>
      <c r="AW10" s="3" t="s">
        <v>153</v>
      </c>
      <c r="AX10" s="3" t="s">
        <v>153</v>
      </c>
      <c r="AY10" s="3">
        <v>0</v>
      </c>
      <c r="AZ10" s="3" t="s">
        <v>2593</v>
      </c>
      <c r="BA10" s="3" t="s">
        <v>111</v>
      </c>
      <c r="BB10" s="3" t="s">
        <v>2593</v>
      </c>
      <c r="BC10" s="3" t="s">
        <v>111</v>
      </c>
      <c r="BD10" s="3">
        <v>5022</v>
      </c>
      <c r="BE10" s="3" t="s">
        <v>3403</v>
      </c>
      <c r="BG10" s="7">
        <f t="shared" si="0"/>
        <v>0.87150000000000005</v>
      </c>
      <c r="BK10" s="5"/>
      <c r="BO10" s="3" t="s">
        <v>3403</v>
      </c>
    </row>
    <row r="11" spans="1:67" x14ac:dyDescent="0.2">
      <c r="A11" s="3" t="s">
        <v>3404</v>
      </c>
      <c r="B11" s="5" t="s">
        <v>4726</v>
      </c>
      <c r="C11" s="5">
        <v>12</v>
      </c>
      <c r="D11" s="5" t="s">
        <v>4732</v>
      </c>
      <c r="F11" s="3" t="s">
        <v>4710</v>
      </c>
      <c r="G11" s="3">
        <v>17302</v>
      </c>
      <c r="H11" s="6">
        <v>44747.53125</v>
      </c>
      <c r="I11" s="14">
        <v>45156.784722222219</v>
      </c>
      <c r="J11" s="3" t="s">
        <v>2591</v>
      </c>
      <c r="K11" s="3" t="s">
        <v>111</v>
      </c>
      <c r="L11" s="3" t="s">
        <v>111</v>
      </c>
      <c r="M11" s="3" t="s">
        <v>111</v>
      </c>
      <c r="N11" s="3" t="s">
        <v>112</v>
      </c>
      <c r="O11" s="3" t="s">
        <v>2165</v>
      </c>
      <c r="P11" s="3" t="s">
        <v>2166</v>
      </c>
      <c r="Q11" s="3">
        <v>36</v>
      </c>
      <c r="R11" s="3" t="s">
        <v>2167</v>
      </c>
      <c r="S11" s="3">
        <v>0.8</v>
      </c>
      <c r="T11" s="3">
        <v>1</v>
      </c>
      <c r="U11" s="3">
        <v>270</v>
      </c>
      <c r="V11" s="3">
        <v>6</v>
      </c>
      <c r="W11" s="3">
        <v>8847</v>
      </c>
      <c r="X11" s="7">
        <v>5.7537000000000003</v>
      </c>
      <c r="Y11" s="3">
        <v>2.1292</v>
      </c>
      <c r="Z11" s="7">
        <v>0.37009999999999998</v>
      </c>
      <c r="AA11" s="3" t="s">
        <v>113</v>
      </c>
      <c r="AB11" s="3">
        <v>386.36919999999998</v>
      </c>
      <c r="AC11" s="3">
        <v>974.91600000000005</v>
      </c>
      <c r="AD11" s="3" t="s">
        <v>113</v>
      </c>
      <c r="AE11" s="3" t="s">
        <v>113</v>
      </c>
      <c r="AF11" s="3" t="s">
        <v>113</v>
      </c>
      <c r="AG11" s="3" t="s">
        <v>131</v>
      </c>
      <c r="AH11" s="3" t="s">
        <v>113</v>
      </c>
      <c r="AI11" s="3" t="s">
        <v>113</v>
      </c>
      <c r="AJ11" s="3" t="s">
        <v>113</v>
      </c>
      <c r="AK11" s="3" t="s">
        <v>113</v>
      </c>
      <c r="AL11" s="3" t="s">
        <v>113</v>
      </c>
      <c r="AM11" s="3">
        <v>1.0500000000000001E-2</v>
      </c>
      <c r="AN11" s="3">
        <v>1.0500000000000001E-2</v>
      </c>
      <c r="AO11" s="3">
        <v>1.0500000000000001E-2</v>
      </c>
      <c r="AP11" s="3">
        <v>368</v>
      </c>
      <c r="AQ11" s="3">
        <v>352</v>
      </c>
      <c r="AR11" s="3">
        <v>81</v>
      </c>
      <c r="AS11" s="3">
        <v>88</v>
      </c>
      <c r="AT11" s="3">
        <v>1030</v>
      </c>
      <c r="AU11" s="3">
        <v>267</v>
      </c>
      <c r="AV11" s="3">
        <v>1685</v>
      </c>
      <c r="AW11" s="3" t="s">
        <v>153</v>
      </c>
      <c r="AX11" s="3" t="s">
        <v>153</v>
      </c>
      <c r="AY11" s="3">
        <v>0</v>
      </c>
      <c r="AZ11" s="3" t="s">
        <v>2593</v>
      </c>
      <c r="BA11" s="3" t="s">
        <v>111</v>
      </c>
      <c r="BB11" s="3" t="s">
        <v>2593</v>
      </c>
      <c r="BC11" s="3" t="s">
        <v>111</v>
      </c>
      <c r="BD11" s="3">
        <v>5022</v>
      </c>
      <c r="BE11" s="3" t="s">
        <v>3404</v>
      </c>
      <c r="BG11" s="7">
        <f t="shared" si="0"/>
        <v>0.85050000000000003</v>
      </c>
      <c r="BK11" s="5"/>
      <c r="BO11" s="3" t="s">
        <v>3404</v>
      </c>
    </row>
    <row r="12" spans="1:67" x14ac:dyDescent="0.2">
      <c r="A12" s="3" t="s">
        <v>3405</v>
      </c>
      <c r="B12" s="5" t="s">
        <v>4726</v>
      </c>
      <c r="C12" s="5">
        <v>12</v>
      </c>
      <c r="D12" s="5" t="s">
        <v>4732</v>
      </c>
      <c r="F12" s="3" t="s">
        <v>4710</v>
      </c>
      <c r="G12" s="3">
        <v>17303</v>
      </c>
      <c r="H12" s="6">
        <v>44747.633333333331</v>
      </c>
      <c r="I12" s="14">
        <v>45159.604861111111</v>
      </c>
      <c r="J12" s="3" t="s">
        <v>2986</v>
      </c>
      <c r="K12" s="3" t="s">
        <v>111</v>
      </c>
      <c r="L12" s="3" t="s">
        <v>111</v>
      </c>
      <c r="M12" s="3" t="s">
        <v>111</v>
      </c>
      <c r="N12" s="3" t="s">
        <v>112</v>
      </c>
      <c r="O12" s="3" t="s">
        <v>2165</v>
      </c>
      <c r="P12" s="3" t="s">
        <v>2166</v>
      </c>
      <c r="Q12" s="3">
        <v>36</v>
      </c>
      <c r="R12" s="3" t="s">
        <v>2167</v>
      </c>
      <c r="S12" s="3">
        <v>0.8</v>
      </c>
      <c r="T12" s="3">
        <v>1</v>
      </c>
      <c r="U12" s="3">
        <v>270</v>
      </c>
      <c r="V12" s="3">
        <v>6</v>
      </c>
      <c r="W12" s="3">
        <v>8847</v>
      </c>
      <c r="X12" s="7">
        <v>5.6753</v>
      </c>
      <c r="Y12" s="3">
        <v>1.9372</v>
      </c>
      <c r="Z12" s="7">
        <v>0.34129999999999999</v>
      </c>
      <c r="AA12" s="3" t="s">
        <v>113</v>
      </c>
      <c r="AB12" s="3">
        <v>351.69749999999999</v>
      </c>
      <c r="AC12" s="3">
        <v>974.47979999999995</v>
      </c>
      <c r="AD12" s="3" t="s">
        <v>113</v>
      </c>
      <c r="AE12" s="3" t="s">
        <v>113</v>
      </c>
      <c r="AF12" s="3" t="s">
        <v>113</v>
      </c>
      <c r="AG12" s="3" t="s">
        <v>131</v>
      </c>
      <c r="AH12" s="3" t="s">
        <v>113</v>
      </c>
      <c r="AI12" s="3" t="s">
        <v>113</v>
      </c>
      <c r="AJ12" s="3" t="s">
        <v>113</v>
      </c>
      <c r="AK12" s="3" t="s">
        <v>113</v>
      </c>
      <c r="AL12" s="3" t="s">
        <v>113</v>
      </c>
      <c r="AM12" s="3">
        <v>1.0500000000000001E-2</v>
      </c>
      <c r="AN12" s="3">
        <v>1.0500000000000001E-2</v>
      </c>
      <c r="AO12" s="3">
        <v>1.0500000000000001E-2</v>
      </c>
      <c r="AP12" s="3">
        <v>336</v>
      </c>
      <c r="AQ12" s="3">
        <v>384</v>
      </c>
      <c r="AR12" s="3">
        <v>82</v>
      </c>
      <c r="AS12" s="3">
        <v>429</v>
      </c>
      <c r="AT12" s="3">
        <v>539</v>
      </c>
      <c r="AU12" s="3">
        <v>523</v>
      </c>
      <c r="AV12" s="3">
        <v>1126</v>
      </c>
      <c r="AW12" s="3" t="s">
        <v>153</v>
      </c>
      <c r="AX12" s="3" t="s">
        <v>153</v>
      </c>
      <c r="AY12" s="3">
        <v>0</v>
      </c>
      <c r="AZ12" s="3" t="s">
        <v>2990</v>
      </c>
      <c r="BA12" s="3" t="s">
        <v>111</v>
      </c>
      <c r="BB12" s="3" t="s">
        <v>2990</v>
      </c>
      <c r="BC12" s="3" t="s">
        <v>111</v>
      </c>
      <c r="BD12" s="3">
        <v>5022</v>
      </c>
      <c r="BE12" s="3" t="s">
        <v>3405</v>
      </c>
      <c r="BG12" s="7">
        <f t="shared" si="0"/>
        <v>0.8610000000000001</v>
      </c>
      <c r="BK12" s="5"/>
      <c r="BO12" s="3" t="s">
        <v>3405</v>
      </c>
    </row>
    <row r="13" spans="1:67" x14ac:dyDescent="0.2">
      <c r="A13" s="3" t="s">
        <v>3406</v>
      </c>
      <c r="B13" s="5" t="s">
        <v>4726</v>
      </c>
      <c r="C13" s="5">
        <v>12</v>
      </c>
      <c r="D13" s="5" t="s">
        <v>4732</v>
      </c>
      <c r="F13" s="3" t="s">
        <v>4710</v>
      </c>
      <c r="G13" s="3">
        <v>17303</v>
      </c>
      <c r="H13" s="6">
        <v>44747.633333333331</v>
      </c>
      <c r="I13" s="14">
        <v>45159.606944444444</v>
      </c>
      <c r="J13" s="3" t="s">
        <v>2986</v>
      </c>
      <c r="K13" s="3" t="s">
        <v>111</v>
      </c>
      <c r="L13" s="3" t="s">
        <v>111</v>
      </c>
      <c r="M13" s="3" t="s">
        <v>111</v>
      </c>
      <c r="N13" s="3" t="s">
        <v>112</v>
      </c>
      <c r="O13" s="3" t="s">
        <v>2165</v>
      </c>
      <c r="P13" s="3" t="s">
        <v>2166</v>
      </c>
      <c r="Q13" s="3">
        <v>36</v>
      </c>
      <c r="R13" s="3" t="s">
        <v>2167</v>
      </c>
      <c r="S13" s="3">
        <v>0.8</v>
      </c>
      <c r="T13" s="3">
        <v>1</v>
      </c>
      <c r="U13" s="3">
        <v>270</v>
      </c>
      <c r="V13" s="3">
        <v>6</v>
      </c>
      <c r="W13" s="3">
        <v>8847</v>
      </c>
      <c r="X13" s="7">
        <v>4.6123000000000003</v>
      </c>
      <c r="Y13" s="3">
        <v>1.7706</v>
      </c>
      <c r="Z13" s="7">
        <v>0.38390000000000002</v>
      </c>
      <c r="AA13" s="3" t="s">
        <v>113</v>
      </c>
      <c r="AB13" s="3">
        <v>401.77890000000002</v>
      </c>
      <c r="AC13" s="3">
        <v>998.17579999999998</v>
      </c>
      <c r="AD13" s="3" t="s">
        <v>113</v>
      </c>
      <c r="AE13" s="3" t="s">
        <v>113</v>
      </c>
      <c r="AF13" s="3" t="s">
        <v>113</v>
      </c>
      <c r="AG13" s="3" t="s">
        <v>131</v>
      </c>
      <c r="AH13" s="3" t="s">
        <v>113</v>
      </c>
      <c r="AI13" s="3" t="s">
        <v>113</v>
      </c>
      <c r="AJ13" s="3" t="s">
        <v>113</v>
      </c>
      <c r="AK13" s="3" t="s">
        <v>113</v>
      </c>
      <c r="AL13" s="3" t="s">
        <v>113</v>
      </c>
      <c r="AM13" s="3">
        <v>1.0500000000000001E-2</v>
      </c>
      <c r="AN13" s="3">
        <v>1.0500000000000001E-2</v>
      </c>
      <c r="AO13" s="3">
        <v>1.0500000000000001E-2</v>
      </c>
      <c r="AP13" s="3">
        <v>292</v>
      </c>
      <c r="AQ13" s="3">
        <v>332</v>
      </c>
      <c r="AR13" s="3">
        <v>78</v>
      </c>
      <c r="AS13" s="3">
        <v>460</v>
      </c>
      <c r="AT13" s="3">
        <v>266</v>
      </c>
      <c r="AU13" s="3">
        <v>229</v>
      </c>
      <c r="AV13" s="3">
        <v>1126</v>
      </c>
      <c r="AW13" s="3" t="s">
        <v>153</v>
      </c>
      <c r="AX13" s="3" t="s">
        <v>153</v>
      </c>
      <c r="AY13" s="3">
        <v>0</v>
      </c>
      <c r="AZ13" s="3" t="s">
        <v>2990</v>
      </c>
      <c r="BA13" s="3" t="s">
        <v>111</v>
      </c>
      <c r="BB13" s="3" t="s">
        <v>2990</v>
      </c>
      <c r="BC13" s="3" t="s">
        <v>111</v>
      </c>
      <c r="BD13" s="3">
        <v>5022</v>
      </c>
      <c r="BE13" s="3" t="s">
        <v>3406</v>
      </c>
      <c r="BG13" s="7">
        <f t="shared" si="0"/>
        <v>0.81900000000000006</v>
      </c>
      <c r="BK13" s="5"/>
      <c r="BO13" s="3" t="s">
        <v>3406</v>
      </c>
    </row>
    <row r="14" spans="1:67" ht="16" x14ac:dyDescent="0.2">
      <c r="B14" s="4"/>
      <c r="C14" s="4"/>
    </row>
    <row r="15" spans="1:67" x14ac:dyDescent="0.2">
      <c r="A15" s="3" t="s">
        <v>3389</v>
      </c>
      <c r="B15" s="5" t="s">
        <v>4727</v>
      </c>
      <c r="C15" s="5">
        <v>10</v>
      </c>
      <c r="D15" s="5" t="s">
        <v>4733</v>
      </c>
      <c r="F15" s="3" t="s">
        <v>4710</v>
      </c>
      <c r="G15" s="3">
        <v>17301</v>
      </c>
      <c r="H15" s="6">
        <v>44747.459027777775</v>
      </c>
      <c r="I15" s="14">
        <v>45156.522222222222</v>
      </c>
      <c r="J15" s="3" t="s">
        <v>2164</v>
      </c>
      <c r="K15" s="3" t="s">
        <v>111</v>
      </c>
      <c r="L15" s="3" t="s">
        <v>111</v>
      </c>
      <c r="M15" s="3" t="s">
        <v>111</v>
      </c>
      <c r="N15" s="3" t="s">
        <v>112</v>
      </c>
      <c r="O15" s="3" t="s">
        <v>2165</v>
      </c>
      <c r="P15" s="3" t="s">
        <v>2166</v>
      </c>
      <c r="Q15" s="3">
        <v>36</v>
      </c>
      <c r="R15" s="3" t="s">
        <v>2167</v>
      </c>
      <c r="S15" s="3">
        <v>0.8</v>
      </c>
      <c r="T15" s="3">
        <v>1</v>
      </c>
      <c r="U15" s="3">
        <v>270</v>
      </c>
      <c r="V15" s="3">
        <v>6</v>
      </c>
      <c r="W15" s="3">
        <v>8847</v>
      </c>
      <c r="X15" s="7">
        <v>6.5042</v>
      </c>
      <c r="Y15" s="3">
        <v>1.9096</v>
      </c>
      <c r="Z15" s="7">
        <v>0.29360000000000003</v>
      </c>
      <c r="AA15" s="3" t="s">
        <v>113</v>
      </c>
      <c r="AB15" s="3">
        <v>306.55880000000002</v>
      </c>
      <c r="AC15" s="3">
        <v>922.36320000000001</v>
      </c>
      <c r="AD15" s="3" t="s">
        <v>113</v>
      </c>
      <c r="AE15" s="3" t="s">
        <v>113</v>
      </c>
      <c r="AF15" s="3" t="s">
        <v>113</v>
      </c>
      <c r="AG15" s="3" t="s">
        <v>131</v>
      </c>
      <c r="AH15" s="3" t="s">
        <v>113</v>
      </c>
      <c r="AI15" s="3" t="s">
        <v>113</v>
      </c>
      <c r="AJ15" s="3" t="s">
        <v>113</v>
      </c>
      <c r="AK15" s="3" t="s">
        <v>113</v>
      </c>
      <c r="AL15" s="3" t="s">
        <v>113</v>
      </c>
      <c r="AM15" s="3">
        <v>1.0500000000000001E-2</v>
      </c>
      <c r="AN15" s="3">
        <v>1.0500000000000001E-2</v>
      </c>
      <c r="AO15" s="3">
        <v>1.0500000000000001E-2</v>
      </c>
      <c r="AP15" s="3">
        <v>400</v>
      </c>
      <c r="AQ15" s="3">
        <v>352</v>
      </c>
      <c r="AR15" s="3">
        <v>75</v>
      </c>
      <c r="AS15" s="3">
        <v>75</v>
      </c>
      <c r="AT15" s="3">
        <v>526</v>
      </c>
      <c r="AU15" s="3">
        <v>201</v>
      </c>
      <c r="AV15" s="3">
        <v>1126</v>
      </c>
      <c r="AW15" s="3" t="s">
        <v>153</v>
      </c>
      <c r="AX15" s="3" t="s">
        <v>153</v>
      </c>
      <c r="AY15" s="3">
        <v>0</v>
      </c>
      <c r="AZ15" s="3" t="s">
        <v>2171</v>
      </c>
      <c r="BA15" s="3" t="s">
        <v>111</v>
      </c>
      <c r="BB15" s="3" t="s">
        <v>2171</v>
      </c>
      <c r="BC15" s="3" t="s">
        <v>111</v>
      </c>
      <c r="BD15" s="3">
        <v>5022</v>
      </c>
      <c r="BE15" s="3" t="s">
        <v>3389</v>
      </c>
      <c r="BG15" s="7">
        <f t="shared" ref="BG15:BG20" si="1">AO15*AR15</f>
        <v>0.78750000000000009</v>
      </c>
      <c r="BO15" s="3" t="s">
        <v>3389</v>
      </c>
    </row>
    <row r="16" spans="1:67" x14ac:dyDescent="0.2">
      <c r="A16" s="3" t="s">
        <v>3390</v>
      </c>
      <c r="B16" s="5" t="s">
        <v>4727</v>
      </c>
      <c r="C16" s="5">
        <v>10</v>
      </c>
      <c r="D16" s="5" t="s">
        <v>4733</v>
      </c>
      <c r="F16" s="3" t="s">
        <v>4710</v>
      </c>
      <c r="G16" s="3">
        <v>17301</v>
      </c>
      <c r="H16" s="6">
        <v>44747.459027777775</v>
      </c>
      <c r="I16" s="14">
        <v>45156.52847222222</v>
      </c>
      <c r="J16" s="3" t="s">
        <v>2164</v>
      </c>
      <c r="K16" s="3" t="s">
        <v>111</v>
      </c>
      <c r="L16" s="3" t="s">
        <v>111</v>
      </c>
      <c r="M16" s="3" t="s">
        <v>111</v>
      </c>
      <c r="N16" s="3" t="s">
        <v>112</v>
      </c>
      <c r="O16" s="3" t="s">
        <v>2165</v>
      </c>
      <c r="P16" s="3" t="s">
        <v>2166</v>
      </c>
      <c r="Q16" s="3">
        <v>36</v>
      </c>
      <c r="R16" s="3" t="s">
        <v>2167</v>
      </c>
      <c r="S16" s="3">
        <v>0.8</v>
      </c>
      <c r="T16" s="3">
        <v>1</v>
      </c>
      <c r="U16" s="3">
        <v>270</v>
      </c>
      <c r="V16" s="3">
        <v>6</v>
      </c>
      <c r="W16" s="3">
        <v>8847</v>
      </c>
      <c r="X16" s="7">
        <v>7.3030999999999997</v>
      </c>
      <c r="Y16" s="3">
        <v>2.7330999999999999</v>
      </c>
      <c r="Z16" s="7">
        <v>0.37419999999999998</v>
      </c>
      <c r="AA16" s="3" t="s">
        <v>113</v>
      </c>
      <c r="AB16" s="3">
        <v>386.07850000000002</v>
      </c>
      <c r="AC16" s="3">
        <v>979.8587</v>
      </c>
      <c r="AD16" s="3" t="s">
        <v>113</v>
      </c>
      <c r="AE16" s="3" t="s">
        <v>113</v>
      </c>
      <c r="AF16" s="3" t="s">
        <v>113</v>
      </c>
      <c r="AG16" s="3" t="s">
        <v>131</v>
      </c>
      <c r="AH16" s="3" t="s">
        <v>113</v>
      </c>
      <c r="AI16" s="3" t="s">
        <v>113</v>
      </c>
      <c r="AJ16" s="3" t="s">
        <v>113</v>
      </c>
      <c r="AK16" s="3" t="s">
        <v>113</v>
      </c>
      <c r="AL16" s="3" t="s">
        <v>113</v>
      </c>
      <c r="AM16" s="3">
        <v>1.0500000000000001E-2</v>
      </c>
      <c r="AN16" s="3">
        <v>1.0500000000000001E-2</v>
      </c>
      <c r="AO16" s="3">
        <v>1.0500000000000001E-2</v>
      </c>
      <c r="AP16" s="3">
        <v>420</v>
      </c>
      <c r="AQ16" s="3">
        <v>352</v>
      </c>
      <c r="AR16" s="3">
        <v>81</v>
      </c>
      <c r="AS16" s="3">
        <v>355</v>
      </c>
      <c r="AT16" s="3">
        <v>245</v>
      </c>
      <c r="AU16" s="3">
        <v>599</v>
      </c>
      <c r="AV16" s="3">
        <v>1126</v>
      </c>
      <c r="AW16" s="3" t="s">
        <v>153</v>
      </c>
      <c r="AX16" s="3" t="s">
        <v>153</v>
      </c>
      <c r="AY16" s="3">
        <v>0</v>
      </c>
      <c r="AZ16" s="3" t="s">
        <v>2171</v>
      </c>
      <c r="BA16" s="3" t="s">
        <v>111</v>
      </c>
      <c r="BB16" s="3" t="s">
        <v>2171</v>
      </c>
      <c r="BC16" s="3" t="s">
        <v>111</v>
      </c>
      <c r="BD16" s="3">
        <v>5022</v>
      </c>
      <c r="BE16" s="3" t="s">
        <v>3390</v>
      </c>
      <c r="BG16" s="7">
        <f t="shared" si="1"/>
        <v>0.85050000000000003</v>
      </c>
      <c r="BO16" s="3" t="s">
        <v>3390</v>
      </c>
    </row>
    <row r="17" spans="1:67" x14ac:dyDescent="0.2">
      <c r="A17" s="3" t="s">
        <v>3391</v>
      </c>
      <c r="B17" s="5" t="s">
        <v>4727</v>
      </c>
      <c r="C17" s="5">
        <v>12</v>
      </c>
      <c r="D17" s="5" t="s">
        <v>4733</v>
      </c>
      <c r="F17" s="3" t="s">
        <v>4710</v>
      </c>
      <c r="G17" s="3">
        <v>17301</v>
      </c>
      <c r="H17" s="6">
        <v>44747.459027777775</v>
      </c>
      <c r="I17" s="14">
        <v>45156.531944444447</v>
      </c>
      <c r="J17" s="3" t="s">
        <v>2164</v>
      </c>
      <c r="K17" s="3" t="s">
        <v>111</v>
      </c>
      <c r="L17" s="3" t="s">
        <v>111</v>
      </c>
      <c r="M17" s="3" t="s">
        <v>111</v>
      </c>
      <c r="N17" s="3" t="s">
        <v>112</v>
      </c>
      <c r="O17" s="3" t="s">
        <v>2165</v>
      </c>
      <c r="P17" s="3" t="s">
        <v>2166</v>
      </c>
      <c r="Q17" s="3">
        <v>36</v>
      </c>
      <c r="R17" s="3" t="s">
        <v>2167</v>
      </c>
      <c r="S17" s="3">
        <v>0.8</v>
      </c>
      <c r="T17" s="3">
        <v>1</v>
      </c>
      <c r="U17" s="3">
        <v>270</v>
      </c>
      <c r="V17" s="3">
        <v>6</v>
      </c>
      <c r="W17" s="3">
        <v>8847</v>
      </c>
      <c r="X17" s="7">
        <v>5.5621</v>
      </c>
      <c r="Y17" s="3">
        <v>1.7726999999999999</v>
      </c>
      <c r="Z17" s="7">
        <v>0.31869999999999998</v>
      </c>
      <c r="AA17" s="3" t="s">
        <v>113</v>
      </c>
      <c r="AB17" s="3">
        <v>328.29230000000001</v>
      </c>
      <c r="AC17" s="3">
        <v>948.31259999999997</v>
      </c>
      <c r="AD17" s="3" t="s">
        <v>113</v>
      </c>
      <c r="AE17" s="3" t="s">
        <v>113</v>
      </c>
      <c r="AF17" s="3" t="s">
        <v>113</v>
      </c>
      <c r="AG17" s="3" t="s">
        <v>131</v>
      </c>
      <c r="AH17" s="3" t="s">
        <v>113</v>
      </c>
      <c r="AI17" s="3" t="s">
        <v>113</v>
      </c>
      <c r="AJ17" s="3" t="s">
        <v>113</v>
      </c>
      <c r="AK17" s="3" t="s">
        <v>113</v>
      </c>
      <c r="AL17" s="3" t="s">
        <v>113</v>
      </c>
      <c r="AM17" s="3">
        <v>1.0500000000000001E-2</v>
      </c>
      <c r="AN17" s="3">
        <v>1.0500000000000001E-2</v>
      </c>
      <c r="AO17" s="3">
        <v>1.0500000000000001E-2</v>
      </c>
      <c r="AP17" s="3">
        <v>444</v>
      </c>
      <c r="AQ17" s="3">
        <v>364</v>
      </c>
      <c r="AR17" s="3">
        <v>66</v>
      </c>
      <c r="AS17" s="3">
        <v>919</v>
      </c>
      <c r="AT17" s="3">
        <v>173</v>
      </c>
      <c r="AU17" s="3">
        <v>836</v>
      </c>
      <c r="AV17" s="3">
        <v>1126</v>
      </c>
      <c r="AW17" s="3" t="s">
        <v>153</v>
      </c>
      <c r="AX17" s="3" t="s">
        <v>153</v>
      </c>
      <c r="AY17" s="3">
        <v>0</v>
      </c>
      <c r="AZ17" s="3" t="s">
        <v>2171</v>
      </c>
      <c r="BA17" s="3" t="s">
        <v>111</v>
      </c>
      <c r="BB17" s="3" t="s">
        <v>2171</v>
      </c>
      <c r="BC17" s="3" t="s">
        <v>111</v>
      </c>
      <c r="BD17" s="3">
        <v>5022</v>
      </c>
      <c r="BE17" s="3" t="s">
        <v>3391</v>
      </c>
      <c r="BG17" s="7">
        <f t="shared" si="1"/>
        <v>0.69300000000000006</v>
      </c>
      <c r="BO17" s="3" t="s">
        <v>3391</v>
      </c>
    </row>
    <row r="18" spans="1:67" x14ac:dyDescent="0.2">
      <c r="A18" s="3" t="s">
        <v>3392</v>
      </c>
      <c r="B18" s="5" t="s">
        <v>4726</v>
      </c>
      <c r="C18" s="5">
        <v>12</v>
      </c>
      <c r="D18" s="5" t="s">
        <v>4733</v>
      </c>
      <c r="F18" s="3" t="s">
        <v>4710</v>
      </c>
      <c r="G18" s="3">
        <v>17301</v>
      </c>
      <c r="H18" s="6">
        <v>44747.459027777775</v>
      </c>
      <c r="I18" s="14">
        <v>45156.537499999999</v>
      </c>
      <c r="J18" s="3" t="s">
        <v>2164</v>
      </c>
      <c r="K18" s="3" t="s">
        <v>111</v>
      </c>
      <c r="L18" s="3" t="s">
        <v>111</v>
      </c>
      <c r="M18" s="3" t="s">
        <v>111</v>
      </c>
      <c r="N18" s="3" t="s">
        <v>112</v>
      </c>
      <c r="O18" s="3" t="s">
        <v>2165</v>
      </c>
      <c r="P18" s="3" t="s">
        <v>2166</v>
      </c>
      <c r="Q18" s="3">
        <v>36</v>
      </c>
      <c r="R18" s="3" t="s">
        <v>2167</v>
      </c>
      <c r="S18" s="3">
        <v>0.8</v>
      </c>
      <c r="T18" s="3">
        <v>1</v>
      </c>
      <c r="U18" s="3">
        <v>270</v>
      </c>
      <c r="V18" s="3">
        <v>6</v>
      </c>
      <c r="W18" s="3">
        <v>8847</v>
      </c>
      <c r="X18" s="7">
        <v>5.4477000000000002</v>
      </c>
      <c r="Y18" s="3">
        <v>2.0066999999999999</v>
      </c>
      <c r="Z18" s="7">
        <v>0.36830000000000002</v>
      </c>
      <c r="AA18" s="3" t="s">
        <v>113</v>
      </c>
      <c r="AB18" s="3">
        <v>384.26130000000001</v>
      </c>
      <c r="AC18" s="3">
        <v>993.01509999999996</v>
      </c>
      <c r="AD18" s="3" t="s">
        <v>113</v>
      </c>
      <c r="AE18" s="3" t="s">
        <v>113</v>
      </c>
      <c r="AF18" s="3" t="s">
        <v>113</v>
      </c>
      <c r="AG18" s="3" t="s">
        <v>131</v>
      </c>
      <c r="AH18" s="3" t="s">
        <v>113</v>
      </c>
      <c r="AI18" s="3" t="s">
        <v>113</v>
      </c>
      <c r="AJ18" s="3" t="s">
        <v>113</v>
      </c>
      <c r="AK18" s="3" t="s">
        <v>113</v>
      </c>
      <c r="AL18" s="3" t="s">
        <v>113</v>
      </c>
      <c r="AM18" s="3">
        <v>1.0500000000000001E-2</v>
      </c>
      <c r="AN18" s="3">
        <v>1.0500000000000001E-2</v>
      </c>
      <c r="AO18" s="3">
        <v>1.0500000000000001E-2</v>
      </c>
      <c r="AP18" s="3">
        <v>404</v>
      </c>
      <c r="AQ18" s="3">
        <v>304</v>
      </c>
      <c r="AR18" s="3">
        <v>75</v>
      </c>
      <c r="AS18" s="3">
        <v>1218</v>
      </c>
      <c r="AT18" s="3">
        <v>431</v>
      </c>
      <c r="AU18" s="3">
        <v>528</v>
      </c>
      <c r="AV18" s="3">
        <v>1126</v>
      </c>
      <c r="AW18" s="3" t="s">
        <v>153</v>
      </c>
      <c r="AX18" s="3" t="s">
        <v>153</v>
      </c>
      <c r="AY18" s="3">
        <v>0</v>
      </c>
      <c r="AZ18" s="3" t="s">
        <v>2171</v>
      </c>
      <c r="BA18" s="3" t="s">
        <v>111</v>
      </c>
      <c r="BB18" s="3" t="s">
        <v>2171</v>
      </c>
      <c r="BC18" s="3" t="s">
        <v>111</v>
      </c>
      <c r="BD18" s="3">
        <v>5022</v>
      </c>
      <c r="BE18" s="3" t="s">
        <v>3392</v>
      </c>
      <c r="BG18" s="7">
        <f t="shared" si="1"/>
        <v>0.78750000000000009</v>
      </c>
      <c r="BO18" s="3" t="s">
        <v>3392</v>
      </c>
    </row>
    <row r="19" spans="1:67" x14ac:dyDescent="0.2">
      <c r="A19" s="3" t="s">
        <v>3393</v>
      </c>
      <c r="B19" s="5" t="s">
        <v>4726</v>
      </c>
      <c r="C19" s="5">
        <v>12</v>
      </c>
      <c r="D19" s="5" t="s">
        <v>4733</v>
      </c>
      <c r="F19" s="3" t="s">
        <v>4710</v>
      </c>
      <c r="G19" s="3">
        <v>17301</v>
      </c>
      <c r="H19" s="6">
        <v>44747.459027777775</v>
      </c>
      <c r="I19" s="14">
        <v>45156.540277777778</v>
      </c>
      <c r="J19" s="3" t="s">
        <v>2164</v>
      </c>
      <c r="K19" s="3" t="s">
        <v>111</v>
      </c>
      <c r="L19" s="3" t="s">
        <v>111</v>
      </c>
      <c r="M19" s="3" t="s">
        <v>111</v>
      </c>
      <c r="N19" s="3" t="s">
        <v>112</v>
      </c>
      <c r="O19" s="3" t="s">
        <v>2165</v>
      </c>
      <c r="P19" s="3" t="s">
        <v>2166</v>
      </c>
      <c r="Q19" s="3">
        <v>36</v>
      </c>
      <c r="R19" s="3" t="s">
        <v>2167</v>
      </c>
      <c r="S19" s="3">
        <v>0.8</v>
      </c>
      <c r="T19" s="3">
        <v>1</v>
      </c>
      <c r="U19" s="3">
        <v>270</v>
      </c>
      <c r="V19" s="3">
        <v>6</v>
      </c>
      <c r="W19" s="3">
        <v>8847</v>
      </c>
      <c r="X19" s="7">
        <v>6.1816000000000004</v>
      </c>
      <c r="Y19" s="3">
        <v>1.7642</v>
      </c>
      <c r="Z19" s="7">
        <v>0.28539999999999999</v>
      </c>
      <c r="AA19" s="3" t="s">
        <v>113</v>
      </c>
      <c r="AB19" s="3">
        <v>296.3827</v>
      </c>
      <c r="AC19" s="3">
        <v>976.73310000000004</v>
      </c>
      <c r="AD19" s="3" t="s">
        <v>113</v>
      </c>
      <c r="AE19" s="3" t="s">
        <v>113</v>
      </c>
      <c r="AF19" s="3" t="s">
        <v>113</v>
      </c>
      <c r="AG19" s="3" t="s">
        <v>131</v>
      </c>
      <c r="AH19" s="3" t="s">
        <v>113</v>
      </c>
      <c r="AI19" s="3" t="s">
        <v>113</v>
      </c>
      <c r="AJ19" s="3" t="s">
        <v>113</v>
      </c>
      <c r="AK19" s="3" t="s">
        <v>113</v>
      </c>
      <c r="AL19" s="3" t="s">
        <v>113</v>
      </c>
      <c r="AM19" s="3">
        <v>1.0500000000000001E-2</v>
      </c>
      <c r="AN19" s="3">
        <v>1.0500000000000001E-2</v>
      </c>
      <c r="AO19" s="3">
        <v>1.0500000000000001E-2</v>
      </c>
      <c r="AP19" s="3">
        <v>388</v>
      </c>
      <c r="AQ19" s="3">
        <v>380</v>
      </c>
      <c r="AR19" s="3">
        <v>66</v>
      </c>
      <c r="AS19" s="3">
        <v>1349</v>
      </c>
      <c r="AT19" s="3">
        <v>1064</v>
      </c>
      <c r="AU19" s="3">
        <v>450</v>
      </c>
      <c r="AV19" s="3">
        <v>1126</v>
      </c>
      <c r="AW19" s="3" t="s">
        <v>153</v>
      </c>
      <c r="AX19" s="3" t="s">
        <v>153</v>
      </c>
      <c r="AY19" s="3">
        <v>0</v>
      </c>
      <c r="AZ19" s="3" t="s">
        <v>2171</v>
      </c>
      <c r="BA19" s="3" t="s">
        <v>111</v>
      </c>
      <c r="BB19" s="3" t="s">
        <v>2171</v>
      </c>
      <c r="BC19" s="3" t="s">
        <v>111</v>
      </c>
      <c r="BD19" s="3">
        <v>5022</v>
      </c>
      <c r="BE19" s="3" t="s">
        <v>3393</v>
      </c>
      <c r="BG19" s="7">
        <f t="shared" si="1"/>
        <v>0.69300000000000006</v>
      </c>
      <c r="BO19" s="3" t="s">
        <v>3393</v>
      </c>
    </row>
    <row r="20" spans="1:67" x14ac:dyDescent="0.2">
      <c r="A20" s="3" t="s">
        <v>3394</v>
      </c>
      <c r="B20" s="5" t="s">
        <v>4726</v>
      </c>
      <c r="C20" s="5">
        <v>12</v>
      </c>
      <c r="D20" s="5" t="s">
        <v>4733</v>
      </c>
      <c r="F20" s="3" t="s">
        <v>4710</v>
      </c>
      <c r="G20" s="3">
        <v>17301</v>
      </c>
      <c r="H20" s="6">
        <v>44747.459027777775</v>
      </c>
      <c r="I20" s="14">
        <v>45156.549305555556</v>
      </c>
      <c r="J20" s="3" t="s">
        <v>2164</v>
      </c>
      <c r="K20" s="3" t="s">
        <v>111</v>
      </c>
      <c r="L20" s="3" t="s">
        <v>111</v>
      </c>
      <c r="M20" s="3" t="s">
        <v>111</v>
      </c>
      <c r="N20" s="3" t="s">
        <v>112</v>
      </c>
      <c r="O20" s="3" t="s">
        <v>2165</v>
      </c>
      <c r="P20" s="3" t="s">
        <v>2166</v>
      </c>
      <c r="Q20" s="3">
        <v>36</v>
      </c>
      <c r="R20" s="3" t="s">
        <v>2167</v>
      </c>
      <c r="S20" s="3">
        <v>0.8</v>
      </c>
      <c r="T20" s="3">
        <v>1</v>
      </c>
      <c r="U20" s="3">
        <v>270</v>
      </c>
      <c r="V20" s="3">
        <v>6</v>
      </c>
      <c r="W20" s="3">
        <v>8847</v>
      </c>
      <c r="X20" s="7">
        <v>5.5861999999999998</v>
      </c>
      <c r="Y20" s="3">
        <v>1.9238999999999999</v>
      </c>
      <c r="Z20" s="7">
        <v>0.34439999999999998</v>
      </c>
      <c r="AB20" s="3">
        <v>357.00369999999998</v>
      </c>
      <c r="AC20" s="3">
        <v>991.27059999999994</v>
      </c>
      <c r="AD20" s="3" t="s">
        <v>113</v>
      </c>
      <c r="AE20" s="3" t="s">
        <v>113</v>
      </c>
      <c r="AF20" s="3" t="s">
        <v>113</v>
      </c>
      <c r="AG20" s="3" t="s">
        <v>131</v>
      </c>
      <c r="AH20" s="3" t="s">
        <v>113</v>
      </c>
      <c r="AI20" s="3" t="s">
        <v>113</v>
      </c>
      <c r="AJ20" s="3" t="s">
        <v>113</v>
      </c>
      <c r="AK20" s="3" t="s">
        <v>113</v>
      </c>
      <c r="AL20" s="3" t="s">
        <v>113</v>
      </c>
      <c r="AM20" s="3">
        <v>1.0500000000000001E-2</v>
      </c>
      <c r="AN20" s="3">
        <v>1.0500000000000001E-2</v>
      </c>
      <c r="AO20" s="3">
        <v>1.0500000000000001E-2</v>
      </c>
      <c r="AP20" s="3">
        <v>368</v>
      </c>
      <c r="AQ20" s="3">
        <v>312</v>
      </c>
      <c r="AR20" s="3">
        <v>75</v>
      </c>
      <c r="AS20" s="3">
        <v>1011</v>
      </c>
      <c r="AT20" s="3">
        <v>1497</v>
      </c>
      <c r="AU20" s="3">
        <v>467</v>
      </c>
      <c r="AV20" s="3">
        <v>1126</v>
      </c>
      <c r="AW20" s="3" t="s">
        <v>153</v>
      </c>
      <c r="AX20" s="3" t="s">
        <v>153</v>
      </c>
      <c r="AY20" s="3">
        <v>0</v>
      </c>
      <c r="AZ20" s="3" t="s">
        <v>2171</v>
      </c>
      <c r="BA20" s="3" t="s">
        <v>111</v>
      </c>
      <c r="BB20" s="3" t="s">
        <v>2171</v>
      </c>
      <c r="BC20" s="3" t="s">
        <v>111</v>
      </c>
      <c r="BD20" s="3">
        <v>5022</v>
      </c>
      <c r="BE20" s="3" t="s">
        <v>3394</v>
      </c>
      <c r="BG20" s="7">
        <f t="shared" si="1"/>
        <v>0.78750000000000009</v>
      </c>
      <c r="BK20" s="5"/>
      <c r="BO20" s="3" t="s">
        <v>3394</v>
      </c>
    </row>
    <row r="21" spans="1:67" ht="16" x14ac:dyDescent="0.2">
      <c r="B21" s="4"/>
      <c r="C21" s="4"/>
    </row>
    <row r="22" spans="1:67" ht="16" x14ac:dyDescent="0.2">
      <c r="A22" s="3" t="s">
        <v>3355</v>
      </c>
      <c r="B22" s="4" t="s">
        <v>4726</v>
      </c>
      <c r="C22" s="4">
        <v>12</v>
      </c>
      <c r="D22" s="5" t="s">
        <v>4734</v>
      </c>
      <c r="F22" s="3" t="s">
        <v>4710</v>
      </c>
      <c r="G22" s="3">
        <v>18033</v>
      </c>
      <c r="H22" s="6">
        <v>45155.804861111108</v>
      </c>
      <c r="I22" s="14">
        <v>45161.868750000001</v>
      </c>
      <c r="J22" s="3" t="s">
        <v>110</v>
      </c>
      <c r="K22" s="3" t="s">
        <v>111</v>
      </c>
      <c r="L22" s="3" t="s">
        <v>111</v>
      </c>
      <c r="M22" s="3" t="s">
        <v>111</v>
      </c>
      <c r="N22" s="3" t="s">
        <v>112</v>
      </c>
      <c r="O22" s="3" t="s">
        <v>113</v>
      </c>
      <c r="P22" s="3" t="s">
        <v>113</v>
      </c>
      <c r="Q22" s="3">
        <v>0</v>
      </c>
      <c r="R22" s="3" t="s">
        <v>113</v>
      </c>
      <c r="S22" s="3">
        <v>0.8</v>
      </c>
      <c r="T22" s="3">
        <v>1</v>
      </c>
      <c r="U22" s="3">
        <v>270</v>
      </c>
      <c r="V22" s="3">
        <v>6</v>
      </c>
      <c r="W22" s="3">
        <v>8847</v>
      </c>
      <c r="X22" s="7">
        <v>5.4729000000000001</v>
      </c>
      <c r="Y22" s="3">
        <v>2.1919</v>
      </c>
      <c r="Z22" s="7">
        <v>0.40050000000000002</v>
      </c>
      <c r="AA22" s="3" t="s">
        <v>113</v>
      </c>
      <c r="AB22" s="3">
        <v>417.55189999999999</v>
      </c>
      <c r="AC22" s="3">
        <v>988.4357</v>
      </c>
      <c r="AD22" s="3" t="s">
        <v>113</v>
      </c>
      <c r="AE22" s="3" t="s">
        <v>113</v>
      </c>
      <c r="AF22" s="3" t="s">
        <v>113</v>
      </c>
      <c r="AG22" s="3" t="s">
        <v>131</v>
      </c>
      <c r="AH22" s="3" t="s">
        <v>113</v>
      </c>
      <c r="AI22" s="3" t="s">
        <v>113</v>
      </c>
      <c r="AJ22" s="3" t="s">
        <v>113</v>
      </c>
      <c r="AK22" s="3" t="s">
        <v>113</v>
      </c>
      <c r="AL22" s="3" t="s">
        <v>113</v>
      </c>
      <c r="AM22" s="3">
        <v>1.0500000000000001E-2</v>
      </c>
      <c r="AN22" s="3">
        <v>1.0500000000000001E-2</v>
      </c>
      <c r="AO22" s="3">
        <v>1.0500000000000001E-2</v>
      </c>
      <c r="AP22" s="3">
        <v>328</v>
      </c>
      <c r="AQ22" s="3">
        <v>412</v>
      </c>
      <c r="AR22" s="3">
        <v>71</v>
      </c>
      <c r="AS22" s="3">
        <v>122</v>
      </c>
      <c r="AT22" s="3">
        <v>570</v>
      </c>
      <c r="AU22" s="3">
        <v>661</v>
      </c>
      <c r="AV22" s="3">
        <v>1126</v>
      </c>
      <c r="AW22" s="3" t="s">
        <v>111</v>
      </c>
      <c r="AX22" s="3" t="s">
        <v>153</v>
      </c>
      <c r="AY22" s="3">
        <v>0</v>
      </c>
      <c r="AZ22" s="3" t="s">
        <v>111</v>
      </c>
      <c r="BA22" s="3" t="s">
        <v>111</v>
      </c>
      <c r="BB22" s="3" t="s">
        <v>154</v>
      </c>
      <c r="BC22" s="3" t="s">
        <v>111</v>
      </c>
      <c r="BD22" s="3">
        <v>5022</v>
      </c>
      <c r="BE22" s="3" t="s">
        <v>3355</v>
      </c>
      <c r="BG22" s="7">
        <f t="shared" ref="BG22:BG27" si="2">AO22*AR22</f>
        <v>0.74550000000000005</v>
      </c>
      <c r="BK22" s="5"/>
      <c r="BO22" s="3" t="s">
        <v>3355</v>
      </c>
    </row>
    <row r="23" spans="1:67" ht="16" x14ac:dyDescent="0.2">
      <c r="A23" s="3" t="s">
        <v>3356</v>
      </c>
      <c r="B23" s="5" t="s">
        <v>4726</v>
      </c>
      <c r="C23" s="4">
        <v>12</v>
      </c>
      <c r="D23" s="5" t="s">
        <v>4734</v>
      </c>
      <c r="F23" s="3" t="s">
        <v>4710</v>
      </c>
      <c r="G23" s="3">
        <v>18034</v>
      </c>
      <c r="H23" s="6">
        <v>45155.808333333334</v>
      </c>
      <c r="I23" s="14">
        <v>45161.879166666666</v>
      </c>
      <c r="J23" s="3" t="s">
        <v>187</v>
      </c>
      <c r="K23" s="3" t="s">
        <v>111</v>
      </c>
      <c r="L23" s="3" t="s">
        <v>111</v>
      </c>
      <c r="M23" s="3" t="s">
        <v>111</v>
      </c>
      <c r="N23" s="3" t="s">
        <v>112</v>
      </c>
      <c r="O23" s="3" t="s">
        <v>113</v>
      </c>
      <c r="P23" s="3" t="s">
        <v>113</v>
      </c>
      <c r="Q23" s="3">
        <v>0</v>
      </c>
      <c r="R23" s="3" t="s">
        <v>113</v>
      </c>
      <c r="S23" s="3">
        <v>0.8</v>
      </c>
      <c r="T23" s="3">
        <v>1</v>
      </c>
      <c r="U23" s="3">
        <v>270</v>
      </c>
      <c r="V23" s="3">
        <v>6</v>
      </c>
      <c r="W23" s="3">
        <v>8847</v>
      </c>
      <c r="X23" s="7">
        <v>5.1025999999999998</v>
      </c>
      <c r="Y23" s="3">
        <v>1.9690000000000001</v>
      </c>
      <c r="Z23" s="7">
        <v>0.38590000000000002</v>
      </c>
      <c r="AA23" s="3" t="s">
        <v>113</v>
      </c>
      <c r="AB23" s="3">
        <v>393.7833</v>
      </c>
      <c r="AC23" s="3">
        <v>987.99969999999996</v>
      </c>
      <c r="AD23" s="3" t="s">
        <v>113</v>
      </c>
      <c r="AE23" s="3" t="s">
        <v>113</v>
      </c>
      <c r="AF23" s="3" t="s">
        <v>113</v>
      </c>
      <c r="AG23" s="3" t="s">
        <v>131</v>
      </c>
      <c r="AH23" s="3" t="s">
        <v>113</v>
      </c>
      <c r="AI23" s="3" t="s">
        <v>113</v>
      </c>
      <c r="AJ23" s="3" t="s">
        <v>113</v>
      </c>
      <c r="AK23" s="3" t="s">
        <v>113</v>
      </c>
      <c r="AL23" s="3" t="s">
        <v>113</v>
      </c>
      <c r="AM23" s="3">
        <v>1.0500000000000001E-2</v>
      </c>
      <c r="AN23" s="3">
        <v>1.0500000000000001E-2</v>
      </c>
      <c r="AO23" s="3">
        <v>1.0500000000000001E-2</v>
      </c>
      <c r="AP23" s="3">
        <v>416</v>
      </c>
      <c r="AQ23" s="3">
        <v>332</v>
      </c>
      <c r="AR23" s="3">
        <v>65</v>
      </c>
      <c r="AS23" s="3">
        <v>401</v>
      </c>
      <c r="AT23" s="3">
        <v>334</v>
      </c>
      <c r="AU23" s="3">
        <v>544</v>
      </c>
      <c r="AV23" s="3">
        <v>1050</v>
      </c>
      <c r="AW23" s="3" t="s">
        <v>111</v>
      </c>
      <c r="AX23" s="3" t="s">
        <v>153</v>
      </c>
      <c r="AY23" s="3">
        <v>0</v>
      </c>
      <c r="AZ23" s="3" t="s">
        <v>111</v>
      </c>
      <c r="BA23" s="3" t="s">
        <v>111</v>
      </c>
      <c r="BB23" s="3" t="s">
        <v>219</v>
      </c>
      <c r="BC23" s="3" t="s">
        <v>111</v>
      </c>
      <c r="BD23" s="3">
        <v>5022</v>
      </c>
      <c r="BE23" s="3" t="s">
        <v>3356</v>
      </c>
      <c r="BG23" s="7">
        <f t="shared" si="2"/>
        <v>0.6825</v>
      </c>
      <c r="BK23" s="5"/>
      <c r="BO23" s="3" t="s">
        <v>3356</v>
      </c>
    </row>
    <row r="24" spans="1:67" ht="16" x14ac:dyDescent="0.2">
      <c r="A24" s="3" t="s">
        <v>3357</v>
      </c>
      <c r="B24" s="4" t="s">
        <v>4726</v>
      </c>
      <c r="C24" s="4">
        <v>12</v>
      </c>
      <c r="D24" s="5" t="s">
        <v>4734</v>
      </c>
      <c r="F24" s="3" t="s">
        <v>4710</v>
      </c>
      <c r="G24" s="3">
        <v>18035</v>
      </c>
      <c r="H24" s="6">
        <v>45155.810416666667</v>
      </c>
      <c r="I24" s="14">
        <v>45167.538888888892</v>
      </c>
      <c r="J24" s="3" t="s">
        <v>253</v>
      </c>
      <c r="K24" s="3" t="s">
        <v>111</v>
      </c>
      <c r="L24" s="3" t="s">
        <v>111</v>
      </c>
      <c r="M24" s="3" t="s">
        <v>111</v>
      </c>
      <c r="N24" s="3" t="s">
        <v>112</v>
      </c>
      <c r="O24" s="3" t="s">
        <v>113</v>
      </c>
      <c r="P24" s="3" t="s">
        <v>113</v>
      </c>
      <c r="Q24" s="3">
        <v>0</v>
      </c>
      <c r="R24" s="3" t="s">
        <v>113</v>
      </c>
      <c r="S24" s="3">
        <v>0.8</v>
      </c>
      <c r="T24" s="3">
        <v>1</v>
      </c>
      <c r="U24" s="3">
        <v>270</v>
      </c>
      <c r="V24" s="3">
        <v>6</v>
      </c>
      <c r="W24" s="3">
        <v>8847</v>
      </c>
      <c r="X24" s="7">
        <v>5.1017000000000001</v>
      </c>
      <c r="Y24" s="3">
        <v>2.0396000000000001</v>
      </c>
      <c r="Z24" s="7">
        <v>0.39979999999999999</v>
      </c>
      <c r="AA24" s="3" t="s">
        <v>113</v>
      </c>
      <c r="AB24" s="3">
        <v>403.596</v>
      </c>
      <c r="AC24" s="3">
        <v>965.83010000000002</v>
      </c>
      <c r="AD24" s="3" t="s">
        <v>113</v>
      </c>
      <c r="AE24" s="3" t="s">
        <v>113</v>
      </c>
      <c r="AF24" s="3" t="s">
        <v>113</v>
      </c>
      <c r="AG24" s="3" t="s">
        <v>131</v>
      </c>
      <c r="AH24" s="3" t="s">
        <v>113</v>
      </c>
      <c r="AI24" s="3" t="s">
        <v>113</v>
      </c>
      <c r="AJ24" s="3" t="s">
        <v>113</v>
      </c>
      <c r="AK24" s="3" t="s">
        <v>113</v>
      </c>
      <c r="AL24" s="3" t="s">
        <v>113</v>
      </c>
      <c r="AM24" s="3">
        <v>1.0500000000000001E-2</v>
      </c>
      <c r="AN24" s="3">
        <v>1.0500000000000001E-2</v>
      </c>
      <c r="AO24" s="3">
        <v>1.0500000000000001E-2</v>
      </c>
      <c r="AP24" s="3">
        <v>400</v>
      </c>
      <c r="AQ24" s="3">
        <v>356</v>
      </c>
      <c r="AR24" s="3">
        <v>67</v>
      </c>
      <c r="AS24" s="3">
        <v>936</v>
      </c>
      <c r="AT24" s="3">
        <v>237</v>
      </c>
      <c r="AU24" s="3">
        <v>683</v>
      </c>
      <c r="AV24" s="3">
        <v>1126</v>
      </c>
      <c r="AW24" s="3" t="s">
        <v>111</v>
      </c>
      <c r="AX24" s="3" t="s">
        <v>153</v>
      </c>
      <c r="AY24" s="3">
        <v>0</v>
      </c>
      <c r="AZ24" s="3" t="s">
        <v>111</v>
      </c>
      <c r="BA24" s="3" t="s">
        <v>111</v>
      </c>
      <c r="BB24" s="3" t="s">
        <v>286</v>
      </c>
      <c r="BC24" s="3" t="s">
        <v>111</v>
      </c>
      <c r="BD24" s="3">
        <v>5022</v>
      </c>
      <c r="BE24" s="3" t="s">
        <v>3357</v>
      </c>
      <c r="BG24" s="7">
        <f t="shared" si="2"/>
        <v>0.70350000000000001</v>
      </c>
      <c r="BK24" s="5"/>
      <c r="BO24" s="3" t="s">
        <v>3357</v>
      </c>
    </row>
    <row r="25" spans="1:67" ht="16" x14ac:dyDescent="0.2">
      <c r="A25" s="3" t="s">
        <v>3358</v>
      </c>
      <c r="B25" s="4" t="s">
        <v>4726</v>
      </c>
      <c r="C25" s="4">
        <v>12</v>
      </c>
      <c r="D25" s="5" t="s">
        <v>4734</v>
      </c>
      <c r="F25" s="3" t="s">
        <v>4710</v>
      </c>
      <c r="G25" s="3">
        <v>18036</v>
      </c>
      <c r="H25" s="6">
        <v>45155.825694444444</v>
      </c>
      <c r="I25" s="14">
        <v>45167.59652777778</v>
      </c>
      <c r="J25" s="3" t="s">
        <v>318</v>
      </c>
      <c r="K25" s="3" t="s">
        <v>111</v>
      </c>
      <c r="L25" s="3" t="s">
        <v>111</v>
      </c>
      <c r="M25" s="3" t="s">
        <v>111</v>
      </c>
      <c r="N25" s="3" t="s">
        <v>112</v>
      </c>
      <c r="O25" s="3" t="s">
        <v>113</v>
      </c>
      <c r="P25" s="3" t="s">
        <v>113</v>
      </c>
      <c r="Q25" s="3">
        <v>0</v>
      </c>
      <c r="R25" s="3" t="s">
        <v>113</v>
      </c>
      <c r="S25" s="3">
        <v>0.8</v>
      </c>
      <c r="T25" s="3">
        <v>1</v>
      </c>
      <c r="U25" s="3">
        <v>270</v>
      </c>
      <c r="V25" s="3">
        <v>6</v>
      </c>
      <c r="W25" s="3">
        <v>8847</v>
      </c>
      <c r="X25" s="7">
        <v>4.9840999999999998</v>
      </c>
      <c r="Y25" s="3">
        <v>1.9816</v>
      </c>
      <c r="Z25" s="7">
        <v>0.39760000000000001</v>
      </c>
      <c r="AA25" s="3" t="s">
        <v>113</v>
      </c>
      <c r="AB25" s="3">
        <v>404.10489999999999</v>
      </c>
      <c r="AC25" s="3">
        <v>981.67579999999998</v>
      </c>
      <c r="AD25" s="3" t="s">
        <v>113</v>
      </c>
      <c r="AE25" s="3" t="s">
        <v>113</v>
      </c>
      <c r="AF25" s="3" t="s">
        <v>113</v>
      </c>
      <c r="AG25" s="3" t="s">
        <v>131</v>
      </c>
      <c r="AH25" s="3" t="s">
        <v>113</v>
      </c>
      <c r="AI25" s="3" t="s">
        <v>113</v>
      </c>
      <c r="AJ25" s="3" t="s">
        <v>113</v>
      </c>
      <c r="AK25" s="3" t="s">
        <v>113</v>
      </c>
      <c r="AL25" s="3" t="s">
        <v>113</v>
      </c>
      <c r="AM25" s="3">
        <v>1.0500000000000001E-2</v>
      </c>
      <c r="AN25" s="3">
        <v>1.0500000000000001E-2</v>
      </c>
      <c r="AO25" s="3">
        <v>1.0500000000000001E-2</v>
      </c>
      <c r="AP25" s="3">
        <v>336</v>
      </c>
      <c r="AQ25" s="3">
        <v>408</v>
      </c>
      <c r="AR25" s="3">
        <v>68</v>
      </c>
      <c r="AS25" s="3">
        <v>1302</v>
      </c>
      <c r="AT25" s="3">
        <v>520</v>
      </c>
      <c r="AU25" s="3">
        <v>753</v>
      </c>
      <c r="AV25" s="3">
        <v>1126</v>
      </c>
      <c r="AW25" s="3" t="s">
        <v>111</v>
      </c>
      <c r="AX25" s="3" t="s">
        <v>153</v>
      </c>
      <c r="AY25" s="3">
        <v>0</v>
      </c>
      <c r="AZ25" s="3" t="s">
        <v>111</v>
      </c>
      <c r="BA25" s="3" t="s">
        <v>111</v>
      </c>
      <c r="BB25" s="3" t="s">
        <v>351</v>
      </c>
      <c r="BC25" s="3" t="s">
        <v>111</v>
      </c>
      <c r="BD25" s="3">
        <v>5022</v>
      </c>
      <c r="BE25" s="3" t="s">
        <v>3358</v>
      </c>
      <c r="BG25" s="7">
        <f t="shared" si="2"/>
        <v>0.71400000000000008</v>
      </c>
      <c r="BK25" s="5"/>
      <c r="BO25" s="3" t="s">
        <v>3358</v>
      </c>
    </row>
    <row r="26" spans="1:67" ht="16" x14ac:dyDescent="0.2">
      <c r="A26" s="3" t="s">
        <v>3359</v>
      </c>
      <c r="B26" s="4" t="s">
        <v>4726</v>
      </c>
      <c r="C26" s="4">
        <v>12</v>
      </c>
      <c r="D26" s="5" t="s">
        <v>4734</v>
      </c>
      <c r="F26" s="3" t="s">
        <v>4710</v>
      </c>
      <c r="G26" s="3">
        <v>18037</v>
      </c>
      <c r="H26" s="6">
        <v>45155.820138888892</v>
      </c>
      <c r="I26" s="14">
        <v>45167.606944444444</v>
      </c>
      <c r="J26" s="3" t="s">
        <v>383</v>
      </c>
      <c r="K26" s="3" t="s">
        <v>111</v>
      </c>
      <c r="L26" s="3" t="s">
        <v>111</v>
      </c>
      <c r="M26" s="3" t="s">
        <v>111</v>
      </c>
      <c r="N26" s="3" t="s">
        <v>112</v>
      </c>
      <c r="O26" s="3" t="s">
        <v>113</v>
      </c>
      <c r="P26" s="3" t="s">
        <v>113</v>
      </c>
      <c r="Q26" s="3">
        <v>0</v>
      </c>
      <c r="R26" s="3" t="s">
        <v>113</v>
      </c>
      <c r="S26" s="3">
        <v>0.8</v>
      </c>
      <c r="T26" s="3">
        <v>1</v>
      </c>
      <c r="U26" s="3">
        <v>270</v>
      </c>
      <c r="V26" s="3">
        <v>6</v>
      </c>
      <c r="W26" s="3">
        <v>8847</v>
      </c>
      <c r="X26" s="7">
        <v>6.4484000000000004</v>
      </c>
      <c r="Y26" s="3">
        <v>2.3654999999999999</v>
      </c>
      <c r="Z26" s="7">
        <v>0.36680000000000001</v>
      </c>
      <c r="AA26" s="3" t="s">
        <v>113</v>
      </c>
      <c r="AB26" s="3">
        <v>378.30099999999999</v>
      </c>
      <c r="AC26" s="3">
        <v>981.1671</v>
      </c>
      <c r="AD26" s="3" t="s">
        <v>113</v>
      </c>
      <c r="AE26" s="3" t="s">
        <v>113</v>
      </c>
      <c r="AF26" s="3" t="s">
        <v>113</v>
      </c>
      <c r="AG26" s="3" t="s">
        <v>131</v>
      </c>
      <c r="AH26" s="3" t="s">
        <v>113</v>
      </c>
      <c r="AI26" s="3" t="s">
        <v>113</v>
      </c>
      <c r="AJ26" s="3" t="s">
        <v>113</v>
      </c>
      <c r="AK26" s="3" t="s">
        <v>113</v>
      </c>
      <c r="AL26" s="3" t="s">
        <v>113</v>
      </c>
      <c r="AM26" s="3">
        <v>1.0500000000000001E-2</v>
      </c>
      <c r="AN26" s="3">
        <v>1.0500000000000001E-2</v>
      </c>
      <c r="AO26" s="3">
        <v>1.0500000000000001E-2</v>
      </c>
      <c r="AP26" s="3">
        <v>396</v>
      </c>
      <c r="AQ26" s="3">
        <v>464</v>
      </c>
      <c r="AR26" s="3">
        <v>78</v>
      </c>
      <c r="AS26" s="3">
        <v>1315</v>
      </c>
      <c r="AT26" s="3">
        <v>1041</v>
      </c>
      <c r="AU26" s="3">
        <v>353</v>
      </c>
      <c r="AV26" s="3">
        <v>1040</v>
      </c>
      <c r="AW26" s="3" t="s">
        <v>111</v>
      </c>
      <c r="AX26" s="3" t="s">
        <v>153</v>
      </c>
      <c r="AY26" s="3">
        <v>0</v>
      </c>
      <c r="AZ26" s="3" t="s">
        <v>111</v>
      </c>
      <c r="BA26" s="3" t="s">
        <v>111</v>
      </c>
      <c r="BB26" s="3" t="s">
        <v>417</v>
      </c>
      <c r="BC26" s="3" t="s">
        <v>111</v>
      </c>
      <c r="BD26" s="3">
        <v>5022</v>
      </c>
      <c r="BE26" s="3" t="s">
        <v>3359</v>
      </c>
      <c r="BG26" s="7">
        <f t="shared" si="2"/>
        <v>0.81900000000000006</v>
      </c>
      <c r="BK26" s="5"/>
      <c r="BO26" s="3" t="s">
        <v>3359</v>
      </c>
    </row>
    <row r="27" spans="1:67" ht="16" x14ac:dyDescent="0.2">
      <c r="A27" s="3" t="s">
        <v>3360</v>
      </c>
      <c r="B27" s="5" t="s">
        <v>4726</v>
      </c>
      <c r="C27" s="4">
        <v>12</v>
      </c>
      <c r="D27" s="5" t="s">
        <v>4734</v>
      </c>
      <c r="F27" s="3" t="s">
        <v>4710</v>
      </c>
      <c r="G27" s="3">
        <v>18039</v>
      </c>
      <c r="H27" s="6">
        <v>45155.831944444442</v>
      </c>
      <c r="I27" s="14">
        <v>45167.618055555555</v>
      </c>
      <c r="J27" s="3" t="s">
        <v>450</v>
      </c>
      <c r="K27" s="3" t="s">
        <v>111</v>
      </c>
      <c r="L27" s="3" t="s">
        <v>111</v>
      </c>
      <c r="M27" s="3" t="s">
        <v>111</v>
      </c>
      <c r="N27" s="3" t="s">
        <v>112</v>
      </c>
      <c r="O27" s="3" t="s">
        <v>113</v>
      </c>
      <c r="P27" s="3" t="s">
        <v>113</v>
      </c>
      <c r="Q27" s="3">
        <v>0</v>
      </c>
      <c r="R27" s="3" t="s">
        <v>113</v>
      </c>
      <c r="S27" s="3">
        <v>0.8</v>
      </c>
      <c r="T27" s="3">
        <v>1</v>
      </c>
      <c r="U27" s="3">
        <v>270</v>
      </c>
      <c r="V27" s="3">
        <v>6</v>
      </c>
      <c r="W27" s="3">
        <v>8847</v>
      </c>
      <c r="X27" s="7">
        <v>5.4221000000000004</v>
      </c>
      <c r="Y27" s="3">
        <v>2.2105999999999999</v>
      </c>
      <c r="Z27" s="7">
        <v>0.40770000000000001</v>
      </c>
      <c r="AB27" s="3">
        <v>422.85809999999998</v>
      </c>
      <c r="AC27" s="3">
        <v>975.57010000000002</v>
      </c>
      <c r="AD27" s="3" t="s">
        <v>113</v>
      </c>
      <c r="AE27" s="3" t="s">
        <v>113</v>
      </c>
      <c r="AF27" s="3" t="s">
        <v>113</v>
      </c>
      <c r="AG27" s="3" t="s">
        <v>131</v>
      </c>
      <c r="AH27" s="3" t="s">
        <v>113</v>
      </c>
      <c r="AI27" s="3" t="s">
        <v>113</v>
      </c>
      <c r="AJ27" s="3" t="s">
        <v>113</v>
      </c>
      <c r="AK27" s="3" t="s">
        <v>113</v>
      </c>
      <c r="AL27" s="3" t="s">
        <v>113</v>
      </c>
      <c r="AM27" s="3">
        <v>1.0500000000000001E-2</v>
      </c>
      <c r="AN27" s="3">
        <v>1.0500000000000001E-2</v>
      </c>
      <c r="AO27" s="3">
        <v>1.0500000000000001E-2</v>
      </c>
      <c r="AP27" s="3">
        <v>428</v>
      </c>
      <c r="AQ27" s="3">
        <v>388</v>
      </c>
      <c r="AR27" s="3">
        <v>64</v>
      </c>
      <c r="AS27" s="3">
        <v>960</v>
      </c>
      <c r="AT27" s="3">
        <v>1348</v>
      </c>
      <c r="AU27" s="3">
        <v>206</v>
      </c>
      <c r="AV27" s="3">
        <v>940</v>
      </c>
      <c r="AW27" s="3" t="s">
        <v>111</v>
      </c>
      <c r="AX27" s="3" t="s">
        <v>153</v>
      </c>
      <c r="AY27" s="3">
        <v>0</v>
      </c>
      <c r="AZ27" s="3" t="s">
        <v>111</v>
      </c>
      <c r="BA27" s="3" t="s">
        <v>111</v>
      </c>
      <c r="BB27" s="3" t="s">
        <v>483</v>
      </c>
      <c r="BC27" s="3" t="s">
        <v>111</v>
      </c>
      <c r="BD27" s="3">
        <v>5022</v>
      </c>
      <c r="BE27" s="3" t="s">
        <v>3360</v>
      </c>
      <c r="BG27" s="7">
        <f t="shared" si="2"/>
        <v>0.67200000000000004</v>
      </c>
      <c r="BK27" s="5"/>
      <c r="BO27" s="3" t="s">
        <v>3360</v>
      </c>
    </row>
    <row r="28" spans="1:67" ht="16" x14ac:dyDescent="0.2">
      <c r="A28" s="3" t="s">
        <v>3361</v>
      </c>
      <c r="B28" s="5" t="s">
        <v>4726</v>
      </c>
      <c r="C28" s="4">
        <v>12</v>
      </c>
      <c r="D28" s="5" t="s">
        <v>4734</v>
      </c>
      <c r="F28" s="3" t="s">
        <v>4710</v>
      </c>
      <c r="G28" s="3">
        <v>18040</v>
      </c>
      <c r="H28" s="6">
        <v>45155.838888888888</v>
      </c>
      <c r="I28" s="14">
        <v>45167.634027777778</v>
      </c>
      <c r="J28" s="3" t="s">
        <v>517</v>
      </c>
      <c r="K28" s="3" t="s">
        <v>111</v>
      </c>
      <c r="L28" s="3" t="s">
        <v>111</v>
      </c>
      <c r="M28" s="3" t="s">
        <v>111</v>
      </c>
      <c r="N28" s="3" t="s">
        <v>112</v>
      </c>
      <c r="O28" s="3" t="s">
        <v>113</v>
      </c>
      <c r="P28" s="3" t="s">
        <v>113</v>
      </c>
      <c r="Q28" s="3">
        <v>0</v>
      </c>
      <c r="R28" s="3" t="s">
        <v>113</v>
      </c>
      <c r="S28" s="3">
        <v>0.8</v>
      </c>
      <c r="T28" s="3">
        <v>1</v>
      </c>
      <c r="U28" s="3">
        <v>270</v>
      </c>
      <c r="V28" s="3">
        <v>6</v>
      </c>
      <c r="W28" s="3">
        <v>8847</v>
      </c>
      <c r="X28" s="7">
        <v>7.0664999999999996</v>
      </c>
      <c r="Y28" s="3">
        <v>2.4967999999999999</v>
      </c>
      <c r="Z28" s="7">
        <v>0.3533</v>
      </c>
      <c r="AB28" s="3">
        <v>364.92649999999998</v>
      </c>
      <c r="AC28" s="3">
        <v>977.75080000000003</v>
      </c>
      <c r="AD28" s="3" t="s">
        <v>113</v>
      </c>
      <c r="AE28" s="3" t="s">
        <v>113</v>
      </c>
      <c r="AF28" s="3" t="s">
        <v>113</v>
      </c>
      <c r="AG28" s="3" t="s">
        <v>131</v>
      </c>
      <c r="AH28" s="3" t="s">
        <v>113</v>
      </c>
      <c r="AI28" s="3" t="s">
        <v>113</v>
      </c>
      <c r="AJ28" s="3" t="s">
        <v>113</v>
      </c>
      <c r="AK28" s="3" t="s">
        <v>113</v>
      </c>
      <c r="AL28" s="3" t="s">
        <v>113</v>
      </c>
      <c r="AM28" s="3">
        <v>1.0500000000000001E-2</v>
      </c>
      <c r="AN28" s="3">
        <v>1.0500000000000001E-2</v>
      </c>
      <c r="AO28" s="3">
        <v>1.0500000000000001E-2</v>
      </c>
      <c r="AP28" s="3">
        <v>440</v>
      </c>
      <c r="AQ28" s="3">
        <v>432</v>
      </c>
      <c r="AR28" s="3">
        <v>64</v>
      </c>
      <c r="AS28" s="3">
        <v>398</v>
      </c>
      <c r="AT28" s="3">
        <v>1398</v>
      </c>
      <c r="AU28" s="3">
        <v>789</v>
      </c>
      <c r="AV28" s="3">
        <v>1126</v>
      </c>
      <c r="AW28" s="3" t="s">
        <v>111</v>
      </c>
      <c r="AX28" s="3" t="s">
        <v>153</v>
      </c>
      <c r="AY28" s="3">
        <v>0</v>
      </c>
      <c r="AZ28" s="3" t="s">
        <v>111</v>
      </c>
      <c r="BA28" s="3" t="s">
        <v>111</v>
      </c>
      <c r="BB28" s="3" t="s">
        <v>550</v>
      </c>
      <c r="BC28" s="3" t="s">
        <v>111</v>
      </c>
      <c r="BD28" s="3">
        <v>5022</v>
      </c>
      <c r="BE28" s="3" t="s">
        <v>3361</v>
      </c>
      <c r="BG28" s="7">
        <f>AO28*AR28</f>
        <v>0.67200000000000004</v>
      </c>
      <c r="BO28" s="3" t="s">
        <v>3361</v>
      </c>
    </row>
    <row r="29" spans="1:67" x14ac:dyDescent="0.2">
      <c r="I29" s="14"/>
    </row>
    <row r="30" spans="1:67" x14ac:dyDescent="0.2">
      <c r="I30" s="14"/>
    </row>
    <row r="31" spans="1:67" ht="16" x14ac:dyDescent="0.2">
      <c r="A31" s="3" t="s">
        <v>3370</v>
      </c>
      <c r="B31" s="4" t="s">
        <v>4726</v>
      </c>
      <c r="C31" s="4">
        <v>12</v>
      </c>
      <c r="D31" s="5" t="s">
        <v>4732</v>
      </c>
      <c r="F31" s="3" t="s">
        <v>4710</v>
      </c>
      <c r="G31" s="3">
        <v>18050</v>
      </c>
      <c r="H31" s="6">
        <v>45156.55</v>
      </c>
      <c r="I31" s="14">
        <v>45168.774305555555</v>
      </c>
      <c r="J31" s="3" t="s">
        <v>1079</v>
      </c>
      <c r="K31" s="3" t="s">
        <v>111</v>
      </c>
      <c r="L31" s="3" t="s">
        <v>111</v>
      </c>
      <c r="M31" s="3" t="s">
        <v>111</v>
      </c>
      <c r="N31" s="3" t="s">
        <v>112</v>
      </c>
      <c r="O31" s="3" t="s">
        <v>113</v>
      </c>
      <c r="P31" s="3" t="s">
        <v>113</v>
      </c>
      <c r="Q31" s="3">
        <v>0</v>
      </c>
      <c r="R31" s="3" t="s">
        <v>113</v>
      </c>
      <c r="S31" s="3">
        <v>0.8</v>
      </c>
      <c r="T31" s="3">
        <v>1</v>
      </c>
      <c r="U31" s="3">
        <v>270</v>
      </c>
      <c r="V31" s="3">
        <v>6</v>
      </c>
      <c r="W31" s="3">
        <v>8847</v>
      </c>
      <c r="X31" s="7">
        <v>6.4595000000000002</v>
      </c>
      <c r="Y31" s="3">
        <v>2.1404000000000001</v>
      </c>
      <c r="Z31" s="7">
        <v>0.33139999999999997</v>
      </c>
      <c r="AA31" s="3" t="s">
        <v>113</v>
      </c>
      <c r="AB31" s="3">
        <v>327.63810000000001</v>
      </c>
      <c r="AC31" s="3">
        <v>983.27499999999998</v>
      </c>
      <c r="AD31" s="3" t="s">
        <v>113</v>
      </c>
      <c r="AE31" s="3" t="s">
        <v>113</v>
      </c>
      <c r="AF31" s="3" t="s">
        <v>113</v>
      </c>
      <c r="AG31" s="3" t="s">
        <v>131</v>
      </c>
      <c r="AH31" s="3" t="s">
        <v>113</v>
      </c>
      <c r="AI31" s="3" t="s">
        <v>113</v>
      </c>
      <c r="AJ31" s="3" t="s">
        <v>113</v>
      </c>
      <c r="AK31" s="3" t="s">
        <v>113</v>
      </c>
      <c r="AL31" s="3" t="s">
        <v>113</v>
      </c>
      <c r="AM31" s="3">
        <v>1.0500000000000001E-2</v>
      </c>
      <c r="AN31" s="3">
        <v>1.0500000000000001E-2</v>
      </c>
      <c r="AO31" s="3">
        <v>1.0500000000000001E-2</v>
      </c>
      <c r="AP31" s="3">
        <v>388</v>
      </c>
      <c r="AQ31" s="3">
        <v>348</v>
      </c>
      <c r="AR31" s="3">
        <v>81</v>
      </c>
      <c r="AS31" s="3">
        <v>224</v>
      </c>
      <c r="AT31" s="3">
        <v>1127</v>
      </c>
      <c r="AU31" s="3">
        <v>704</v>
      </c>
      <c r="AV31" s="3">
        <v>1100</v>
      </c>
      <c r="AW31" s="3" t="s">
        <v>111</v>
      </c>
      <c r="AX31" s="3" t="s">
        <v>153</v>
      </c>
      <c r="AY31" s="3">
        <v>0</v>
      </c>
      <c r="AZ31" s="3" t="s">
        <v>111</v>
      </c>
      <c r="BA31" s="3" t="s">
        <v>111</v>
      </c>
      <c r="BB31" s="3" t="s">
        <v>1107</v>
      </c>
      <c r="BC31" s="3" t="s">
        <v>111</v>
      </c>
      <c r="BD31" s="3">
        <v>5022</v>
      </c>
      <c r="BE31" s="3" t="s">
        <v>3370</v>
      </c>
      <c r="BG31" s="7">
        <f>AO31*AR31</f>
        <v>0.85050000000000003</v>
      </c>
      <c r="BK31" s="5"/>
      <c r="BO31" s="3" t="s">
        <v>3370</v>
      </c>
    </row>
    <row r="32" spans="1:67" ht="16" x14ac:dyDescent="0.2">
      <c r="A32" s="3" t="s">
        <v>3371</v>
      </c>
      <c r="B32" s="5" t="s">
        <v>4726</v>
      </c>
      <c r="C32" s="4">
        <v>12</v>
      </c>
      <c r="D32" s="5" t="s">
        <v>4732</v>
      </c>
      <c r="F32" s="3" t="s">
        <v>4710</v>
      </c>
      <c r="G32" s="3">
        <v>18051</v>
      </c>
      <c r="H32" s="6">
        <v>45156.603472222225</v>
      </c>
      <c r="I32" s="14">
        <v>45168.78402777778</v>
      </c>
      <c r="J32" s="3" t="s">
        <v>1140</v>
      </c>
      <c r="K32" s="3" t="s">
        <v>111</v>
      </c>
      <c r="L32" s="3" t="s">
        <v>111</v>
      </c>
      <c r="M32" s="3" t="s">
        <v>111</v>
      </c>
      <c r="N32" s="3" t="s">
        <v>112</v>
      </c>
      <c r="O32" s="3" t="s">
        <v>113</v>
      </c>
      <c r="P32" s="3" t="s">
        <v>113</v>
      </c>
      <c r="Q32" s="3">
        <v>0</v>
      </c>
      <c r="R32" s="3" t="s">
        <v>113</v>
      </c>
      <c r="S32" s="3">
        <v>0.8</v>
      </c>
      <c r="T32" s="3">
        <v>1</v>
      </c>
      <c r="U32" s="3">
        <v>270</v>
      </c>
      <c r="V32" s="3">
        <v>6</v>
      </c>
      <c r="W32" s="3">
        <v>8847</v>
      </c>
      <c r="X32" s="7">
        <v>6.0039999999999996</v>
      </c>
      <c r="Y32" s="3">
        <v>2.0506000000000002</v>
      </c>
      <c r="Z32" s="7">
        <v>0.34150000000000003</v>
      </c>
      <c r="AA32" s="3" t="s">
        <v>113</v>
      </c>
      <c r="AB32" s="3">
        <v>351.26139999999998</v>
      </c>
      <c r="AC32" s="3">
        <v>1011.4048</v>
      </c>
      <c r="AD32" s="3" t="s">
        <v>113</v>
      </c>
      <c r="AE32" s="3" t="s">
        <v>113</v>
      </c>
      <c r="AF32" s="3" t="s">
        <v>113</v>
      </c>
      <c r="AG32" s="3" t="s">
        <v>131</v>
      </c>
      <c r="AH32" s="3" t="s">
        <v>113</v>
      </c>
      <c r="AI32" s="3" t="s">
        <v>113</v>
      </c>
      <c r="AJ32" s="3" t="s">
        <v>113</v>
      </c>
      <c r="AK32" s="3" t="s">
        <v>113</v>
      </c>
      <c r="AL32" s="3" t="s">
        <v>113</v>
      </c>
      <c r="AM32" s="3">
        <v>1.0500000000000001E-2</v>
      </c>
      <c r="AN32" s="3">
        <v>1.0500000000000001E-2</v>
      </c>
      <c r="AO32" s="3">
        <v>1.0500000000000001E-2</v>
      </c>
      <c r="AP32" s="3">
        <v>352</v>
      </c>
      <c r="AQ32" s="3">
        <v>392</v>
      </c>
      <c r="AR32" s="3">
        <v>86</v>
      </c>
      <c r="AS32" s="3">
        <v>399</v>
      </c>
      <c r="AT32" s="3">
        <v>516</v>
      </c>
      <c r="AU32" s="3">
        <v>699</v>
      </c>
      <c r="AV32" s="3">
        <v>1090</v>
      </c>
      <c r="AW32" s="3" t="s">
        <v>111</v>
      </c>
      <c r="AX32" s="3" t="s">
        <v>153</v>
      </c>
      <c r="AY32" s="3">
        <v>0</v>
      </c>
      <c r="AZ32" s="3" t="s">
        <v>111</v>
      </c>
      <c r="BA32" s="3" t="s">
        <v>111</v>
      </c>
      <c r="BB32" s="3" t="s">
        <v>1167</v>
      </c>
      <c r="BC32" s="3" t="s">
        <v>111</v>
      </c>
      <c r="BD32" s="3">
        <v>5022</v>
      </c>
      <c r="BE32" s="3" t="s">
        <v>3371</v>
      </c>
      <c r="BG32" s="7">
        <f>AO32*AR32</f>
        <v>0.90300000000000002</v>
      </c>
      <c r="BK32" s="5"/>
      <c r="BO32" s="3" t="s">
        <v>3371</v>
      </c>
    </row>
    <row r="33" spans="1:67" ht="16" x14ac:dyDescent="0.2">
      <c r="A33" s="3" t="s">
        <v>3372</v>
      </c>
      <c r="B33" s="4" t="s">
        <v>4726</v>
      </c>
      <c r="C33" s="4">
        <v>12</v>
      </c>
      <c r="D33" s="5" t="s">
        <v>4732</v>
      </c>
      <c r="F33" s="3" t="s">
        <v>4710</v>
      </c>
      <c r="G33" s="3">
        <v>18052</v>
      </c>
      <c r="H33" s="6">
        <v>45156.61041666667</v>
      </c>
      <c r="I33" s="14">
        <v>45168.794444444444</v>
      </c>
      <c r="J33" s="3" t="s">
        <v>1195</v>
      </c>
      <c r="K33" s="3" t="s">
        <v>111</v>
      </c>
      <c r="L33" s="3" t="s">
        <v>111</v>
      </c>
      <c r="M33" s="3" t="s">
        <v>111</v>
      </c>
      <c r="N33" s="3" t="s">
        <v>112</v>
      </c>
      <c r="O33" s="3" t="s">
        <v>113</v>
      </c>
      <c r="P33" s="3" t="s">
        <v>113</v>
      </c>
      <c r="Q33" s="3">
        <v>0</v>
      </c>
      <c r="R33" s="3" t="s">
        <v>113</v>
      </c>
      <c r="S33" s="3">
        <v>0.8</v>
      </c>
      <c r="T33" s="3">
        <v>1</v>
      </c>
      <c r="U33" s="3">
        <v>270</v>
      </c>
      <c r="V33" s="3">
        <v>6</v>
      </c>
      <c r="W33" s="3">
        <v>8847</v>
      </c>
      <c r="X33" s="7">
        <v>5.3757000000000001</v>
      </c>
      <c r="Y33" s="3">
        <v>1.7926</v>
      </c>
      <c r="Z33" s="7">
        <v>0.33350000000000002</v>
      </c>
      <c r="AA33" s="3" t="s">
        <v>113</v>
      </c>
      <c r="AB33" s="3">
        <v>342.68430000000001</v>
      </c>
      <c r="AC33" s="3">
        <v>1009.8785</v>
      </c>
      <c r="AD33" s="3" t="s">
        <v>113</v>
      </c>
      <c r="AE33" s="3" t="s">
        <v>113</v>
      </c>
      <c r="AF33" s="3" t="s">
        <v>113</v>
      </c>
      <c r="AG33" s="3" t="s">
        <v>131</v>
      </c>
      <c r="AH33" s="3" t="s">
        <v>113</v>
      </c>
      <c r="AI33" s="3" t="s">
        <v>113</v>
      </c>
      <c r="AJ33" s="3" t="s">
        <v>113</v>
      </c>
      <c r="AK33" s="3" t="s">
        <v>113</v>
      </c>
      <c r="AL33" s="3" t="s">
        <v>113</v>
      </c>
      <c r="AM33" s="3">
        <v>1.0500000000000001E-2</v>
      </c>
      <c r="AN33" s="3">
        <v>1.0500000000000001E-2</v>
      </c>
      <c r="AO33" s="3">
        <v>1.0500000000000001E-2</v>
      </c>
      <c r="AP33" s="3">
        <v>372</v>
      </c>
      <c r="AQ33" s="3">
        <v>328</v>
      </c>
      <c r="AR33" s="3">
        <v>77</v>
      </c>
      <c r="AS33" s="3">
        <v>1097</v>
      </c>
      <c r="AT33" s="3">
        <v>442</v>
      </c>
      <c r="AU33" s="3">
        <v>538</v>
      </c>
      <c r="AV33" s="3">
        <v>980</v>
      </c>
      <c r="AW33" s="3" t="s">
        <v>111</v>
      </c>
      <c r="AX33" s="3" t="s">
        <v>153</v>
      </c>
      <c r="AY33" s="3">
        <v>0</v>
      </c>
      <c r="AZ33" s="3" t="s">
        <v>111</v>
      </c>
      <c r="BA33" s="3" t="s">
        <v>111</v>
      </c>
      <c r="BB33" s="3" t="s">
        <v>1224</v>
      </c>
      <c r="BC33" s="3" t="s">
        <v>111</v>
      </c>
      <c r="BD33" s="3">
        <v>5022</v>
      </c>
      <c r="BE33" s="3" t="s">
        <v>3372</v>
      </c>
      <c r="BG33" s="7">
        <f>AO33*AR33</f>
        <v>0.8085</v>
      </c>
      <c r="BK33" s="5"/>
      <c r="BO33" s="3" t="s">
        <v>3372</v>
      </c>
    </row>
    <row r="34" spans="1:67" x14ac:dyDescent="0.2">
      <c r="A34" s="3" t="s">
        <v>3407</v>
      </c>
      <c r="B34" s="5" t="s">
        <v>4726</v>
      </c>
      <c r="C34" s="8">
        <v>11</v>
      </c>
      <c r="D34" s="5" t="s">
        <v>4732</v>
      </c>
      <c r="F34" s="3" t="s">
        <v>4710</v>
      </c>
      <c r="G34" s="3">
        <v>17303</v>
      </c>
      <c r="H34" s="6">
        <v>44747.633333333331</v>
      </c>
      <c r="I34" s="14">
        <v>45159.61041666667</v>
      </c>
      <c r="J34" s="3" t="s">
        <v>2986</v>
      </c>
      <c r="K34" s="3" t="s">
        <v>111</v>
      </c>
      <c r="L34" s="3" t="s">
        <v>111</v>
      </c>
      <c r="M34" s="3" t="s">
        <v>111</v>
      </c>
      <c r="N34" s="3" t="s">
        <v>112</v>
      </c>
      <c r="O34" s="3" t="s">
        <v>2165</v>
      </c>
      <c r="P34" s="3" t="s">
        <v>2166</v>
      </c>
      <c r="Q34" s="3">
        <v>36</v>
      </c>
      <c r="R34" s="3" t="s">
        <v>2167</v>
      </c>
      <c r="S34" s="3">
        <v>0.8</v>
      </c>
      <c r="T34" s="3">
        <v>1</v>
      </c>
      <c r="U34" s="3">
        <v>270</v>
      </c>
      <c r="V34" s="3">
        <v>6</v>
      </c>
      <c r="W34" s="3">
        <v>8847</v>
      </c>
      <c r="X34" s="7">
        <v>6.28</v>
      </c>
      <c r="Y34" s="3">
        <v>2.1818</v>
      </c>
      <c r="Z34" s="7">
        <v>0.34739999999999999</v>
      </c>
      <c r="AA34" s="3" t="s">
        <v>113</v>
      </c>
      <c r="AB34" s="3">
        <v>362.45519999999999</v>
      </c>
      <c r="AC34" s="3">
        <v>992.79690000000005</v>
      </c>
      <c r="AD34" s="3" t="s">
        <v>113</v>
      </c>
      <c r="AE34" s="3" t="s">
        <v>113</v>
      </c>
      <c r="AF34" s="3" t="s">
        <v>113</v>
      </c>
      <c r="AG34" s="3" t="s">
        <v>131</v>
      </c>
      <c r="AH34" s="3" t="s">
        <v>113</v>
      </c>
      <c r="AI34" s="3" t="s">
        <v>113</v>
      </c>
      <c r="AJ34" s="3" t="s">
        <v>113</v>
      </c>
      <c r="AK34" s="3" t="s">
        <v>113</v>
      </c>
      <c r="AL34" s="3" t="s">
        <v>113</v>
      </c>
      <c r="AM34" s="3">
        <v>1.0500000000000001E-2</v>
      </c>
      <c r="AN34" s="3">
        <v>1.0500000000000001E-2</v>
      </c>
      <c r="AO34" s="3">
        <v>1.0500000000000001E-2</v>
      </c>
      <c r="AP34" s="3">
        <v>368</v>
      </c>
      <c r="AQ34" s="3">
        <v>340</v>
      </c>
      <c r="AR34" s="3">
        <v>85</v>
      </c>
      <c r="AS34" s="3">
        <v>954</v>
      </c>
      <c r="AT34" s="3">
        <v>221</v>
      </c>
      <c r="AU34" s="3">
        <v>820</v>
      </c>
      <c r="AV34" s="3">
        <v>1126</v>
      </c>
      <c r="AW34" s="3" t="s">
        <v>153</v>
      </c>
      <c r="AX34" s="3" t="s">
        <v>153</v>
      </c>
      <c r="AY34" s="3">
        <v>0</v>
      </c>
      <c r="AZ34" s="3" t="s">
        <v>2990</v>
      </c>
      <c r="BA34" s="3" t="s">
        <v>111</v>
      </c>
      <c r="BB34" s="3" t="s">
        <v>2990</v>
      </c>
      <c r="BC34" s="3" t="s">
        <v>111</v>
      </c>
      <c r="BD34" s="3">
        <v>5022</v>
      </c>
      <c r="BE34" s="3" t="s">
        <v>3407</v>
      </c>
      <c r="BG34" s="7">
        <f t="shared" ref="BG34:BG39" si="3">AO34*AR34</f>
        <v>0.89250000000000007</v>
      </c>
      <c r="BK34" s="5"/>
      <c r="BO34" s="3" t="s">
        <v>3407</v>
      </c>
    </row>
    <row r="35" spans="1:67" x14ac:dyDescent="0.2">
      <c r="A35" s="3" t="s">
        <v>3408</v>
      </c>
      <c r="B35" s="5" t="s">
        <v>4726</v>
      </c>
      <c r="C35" s="8">
        <v>11</v>
      </c>
      <c r="D35" s="5" t="s">
        <v>4732</v>
      </c>
      <c r="F35" s="3" t="s">
        <v>4710</v>
      </c>
      <c r="G35" s="3">
        <v>17303</v>
      </c>
      <c r="H35" s="6">
        <v>44747.633333333331</v>
      </c>
      <c r="I35" s="14">
        <v>45159.612500000003</v>
      </c>
      <c r="J35" s="3" t="s">
        <v>2986</v>
      </c>
      <c r="K35" s="3" t="s">
        <v>111</v>
      </c>
      <c r="L35" s="3" t="s">
        <v>111</v>
      </c>
      <c r="M35" s="3" t="s">
        <v>111</v>
      </c>
      <c r="N35" s="3" t="s">
        <v>112</v>
      </c>
      <c r="O35" s="3" t="s">
        <v>2165</v>
      </c>
      <c r="P35" s="3" t="s">
        <v>2166</v>
      </c>
      <c r="Q35" s="3">
        <v>36</v>
      </c>
      <c r="R35" s="3" t="s">
        <v>2167</v>
      </c>
      <c r="S35" s="3">
        <v>0.8</v>
      </c>
      <c r="T35" s="3">
        <v>1</v>
      </c>
      <c r="U35" s="3">
        <v>270</v>
      </c>
      <c r="V35" s="3">
        <v>6</v>
      </c>
      <c r="W35" s="3">
        <v>8847</v>
      </c>
      <c r="X35" s="7">
        <v>5.5183</v>
      </c>
      <c r="Y35" s="3">
        <v>2.0667</v>
      </c>
      <c r="Z35" s="7">
        <v>0.3745</v>
      </c>
      <c r="AA35" s="3" t="s">
        <v>113</v>
      </c>
      <c r="AB35" s="3">
        <v>384.26130000000001</v>
      </c>
      <c r="AC35" s="3">
        <v>979.93129999999996</v>
      </c>
      <c r="AD35" s="3" t="s">
        <v>113</v>
      </c>
      <c r="AE35" s="3" t="s">
        <v>113</v>
      </c>
      <c r="AF35" s="3" t="s">
        <v>113</v>
      </c>
      <c r="AG35" s="3" t="s">
        <v>131</v>
      </c>
      <c r="AH35" s="3" t="s">
        <v>113</v>
      </c>
      <c r="AI35" s="3" t="s">
        <v>113</v>
      </c>
      <c r="AJ35" s="3" t="s">
        <v>113</v>
      </c>
      <c r="AK35" s="3" t="s">
        <v>113</v>
      </c>
      <c r="AL35" s="3" t="s">
        <v>113</v>
      </c>
      <c r="AM35" s="3">
        <v>1.0500000000000001E-2</v>
      </c>
      <c r="AN35" s="3">
        <v>1.0500000000000001E-2</v>
      </c>
      <c r="AO35" s="3">
        <v>1.0500000000000001E-2</v>
      </c>
      <c r="AP35" s="3">
        <v>336</v>
      </c>
      <c r="AQ35" s="3">
        <v>304</v>
      </c>
      <c r="AR35" s="3">
        <v>82</v>
      </c>
      <c r="AS35" s="3">
        <v>1294</v>
      </c>
      <c r="AT35" s="3">
        <v>438</v>
      </c>
      <c r="AU35" s="3">
        <v>641</v>
      </c>
      <c r="AV35" s="3">
        <v>1126</v>
      </c>
      <c r="AW35" s="3" t="s">
        <v>153</v>
      </c>
      <c r="AX35" s="3" t="s">
        <v>153</v>
      </c>
      <c r="AY35" s="3">
        <v>0</v>
      </c>
      <c r="AZ35" s="3" t="s">
        <v>2990</v>
      </c>
      <c r="BA35" s="3" t="s">
        <v>111</v>
      </c>
      <c r="BB35" s="3" t="s">
        <v>2990</v>
      </c>
      <c r="BC35" s="3" t="s">
        <v>111</v>
      </c>
      <c r="BD35" s="3">
        <v>5022</v>
      </c>
      <c r="BE35" s="3" t="s">
        <v>3408</v>
      </c>
      <c r="BG35" s="7">
        <f t="shared" si="3"/>
        <v>0.8610000000000001</v>
      </c>
      <c r="BI35" s="5"/>
      <c r="BK35" s="5"/>
      <c r="BO35" s="3" t="s">
        <v>3408</v>
      </c>
    </row>
    <row r="36" spans="1:67" x14ac:dyDescent="0.2">
      <c r="A36" s="3" t="s">
        <v>3409</v>
      </c>
      <c r="B36" s="5" t="s">
        <v>4726</v>
      </c>
      <c r="C36" s="8">
        <v>11</v>
      </c>
      <c r="D36" s="5" t="s">
        <v>4732</v>
      </c>
      <c r="F36" s="3" t="s">
        <v>4710</v>
      </c>
      <c r="G36" s="3">
        <v>17303</v>
      </c>
      <c r="H36" s="6">
        <v>44747.633333333331</v>
      </c>
      <c r="I36" s="14">
        <v>45159.615277777775</v>
      </c>
      <c r="J36" s="3" t="s">
        <v>2986</v>
      </c>
      <c r="K36" s="3" t="s">
        <v>111</v>
      </c>
      <c r="L36" s="3" t="s">
        <v>111</v>
      </c>
      <c r="M36" s="3" t="s">
        <v>111</v>
      </c>
      <c r="N36" s="3" t="s">
        <v>112</v>
      </c>
      <c r="O36" s="3" t="s">
        <v>2165</v>
      </c>
      <c r="P36" s="3" t="s">
        <v>2166</v>
      </c>
      <c r="Q36" s="3">
        <v>36</v>
      </c>
      <c r="R36" s="3" t="s">
        <v>2167</v>
      </c>
      <c r="S36" s="3">
        <v>0.8</v>
      </c>
      <c r="T36" s="3">
        <v>1</v>
      </c>
      <c r="U36" s="3">
        <v>270</v>
      </c>
      <c r="V36" s="3">
        <v>6</v>
      </c>
      <c r="W36" s="3">
        <v>8847</v>
      </c>
      <c r="X36" s="7">
        <v>5.4405000000000001</v>
      </c>
      <c r="Y36" s="3">
        <v>1.9513</v>
      </c>
      <c r="Z36" s="7">
        <v>0.35870000000000002</v>
      </c>
      <c r="AA36" s="3" t="s">
        <v>113</v>
      </c>
      <c r="AB36" s="3">
        <v>381.93529999999998</v>
      </c>
      <c r="AC36" s="3">
        <v>1010.1691</v>
      </c>
      <c r="AD36" s="3" t="s">
        <v>113</v>
      </c>
      <c r="AE36" s="3" t="s">
        <v>113</v>
      </c>
      <c r="AF36" s="3" t="s">
        <v>113</v>
      </c>
      <c r="AG36" s="3" t="s">
        <v>131</v>
      </c>
      <c r="AH36" s="3" t="s">
        <v>113</v>
      </c>
      <c r="AI36" s="3" t="s">
        <v>113</v>
      </c>
      <c r="AJ36" s="3" t="s">
        <v>113</v>
      </c>
      <c r="AK36" s="3" t="s">
        <v>113</v>
      </c>
      <c r="AL36" s="3" t="s">
        <v>113</v>
      </c>
      <c r="AM36" s="3">
        <v>1.0500000000000001E-2</v>
      </c>
      <c r="AN36" s="3">
        <v>1.0500000000000001E-2</v>
      </c>
      <c r="AO36" s="3">
        <v>1.0500000000000001E-2</v>
      </c>
      <c r="AP36" s="3">
        <v>316</v>
      </c>
      <c r="AQ36" s="3">
        <v>372</v>
      </c>
      <c r="AR36" s="3">
        <v>75</v>
      </c>
      <c r="AS36" s="3">
        <v>1348</v>
      </c>
      <c r="AT36" s="3">
        <v>1051</v>
      </c>
      <c r="AU36" s="3">
        <v>589</v>
      </c>
      <c r="AV36" s="3">
        <v>1126</v>
      </c>
      <c r="AW36" s="3" t="s">
        <v>153</v>
      </c>
      <c r="AX36" s="3" t="s">
        <v>153</v>
      </c>
      <c r="AY36" s="3">
        <v>0</v>
      </c>
      <c r="AZ36" s="3" t="s">
        <v>2990</v>
      </c>
      <c r="BA36" s="3" t="s">
        <v>111</v>
      </c>
      <c r="BB36" s="3" t="s">
        <v>2990</v>
      </c>
      <c r="BC36" s="3" t="s">
        <v>111</v>
      </c>
      <c r="BD36" s="3">
        <v>5022</v>
      </c>
      <c r="BE36" s="3" t="s">
        <v>3409</v>
      </c>
      <c r="BG36" s="7">
        <f t="shared" si="3"/>
        <v>0.78750000000000009</v>
      </c>
      <c r="BI36" s="5"/>
      <c r="BK36" s="5"/>
      <c r="BO36" s="3" t="s">
        <v>3409</v>
      </c>
    </row>
    <row r="37" spans="1:67" x14ac:dyDescent="0.2">
      <c r="A37" s="3" t="s">
        <v>3410</v>
      </c>
      <c r="B37" s="5" t="s">
        <v>4727</v>
      </c>
      <c r="C37" s="8">
        <v>11</v>
      </c>
      <c r="D37" s="5" t="s">
        <v>4732</v>
      </c>
      <c r="F37" s="3" t="s">
        <v>4710</v>
      </c>
      <c r="G37" s="3">
        <v>17303</v>
      </c>
      <c r="H37" s="6">
        <v>44747.633333333331</v>
      </c>
      <c r="I37" s="14">
        <v>45159.617361111108</v>
      </c>
      <c r="J37" s="3" t="s">
        <v>2986</v>
      </c>
      <c r="K37" s="3" t="s">
        <v>111</v>
      </c>
      <c r="L37" s="3" t="s">
        <v>111</v>
      </c>
      <c r="M37" s="3" t="s">
        <v>111</v>
      </c>
      <c r="N37" s="3" t="s">
        <v>112</v>
      </c>
      <c r="O37" s="3" t="s">
        <v>2165</v>
      </c>
      <c r="P37" s="3" t="s">
        <v>2166</v>
      </c>
      <c r="Q37" s="3">
        <v>36</v>
      </c>
      <c r="R37" s="3" t="s">
        <v>2167</v>
      </c>
      <c r="S37" s="3">
        <v>0.8</v>
      </c>
      <c r="T37" s="3">
        <v>1</v>
      </c>
      <c r="U37" s="3">
        <v>270</v>
      </c>
      <c r="V37" s="3">
        <v>6</v>
      </c>
      <c r="W37" s="3">
        <v>8847</v>
      </c>
      <c r="X37" s="7">
        <v>6.1136999999999997</v>
      </c>
      <c r="Y37" s="3">
        <v>2.0676000000000001</v>
      </c>
      <c r="Z37" s="7">
        <v>0.3382</v>
      </c>
      <c r="AA37" s="3" t="s">
        <v>113</v>
      </c>
      <c r="AB37" s="3">
        <v>340.64909999999998</v>
      </c>
      <c r="AC37" s="3">
        <v>950.49310000000003</v>
      </c>
      <c r="AD37" s="3" t="s">
        <v>113</v>
      </c>
      <c r="AE37" s="3" t="s">
        <v>113</v>
      </c>
      <c r="AF37" s="3" t="s">
        <v>113</v>
      </c>
      <c r="AG37" s="3" t="s">
        <v>131</v>
      </c>
      <c r="AH37" s="3" t="s">
        <v>113</v>
      </c>
      <c r="AI37" s="3" t="s">
        <v>113</v>
      </c>
      <c r="AJ37" s="3" t="s">
        <v>113</v>
      </c>
      <c r="AK37" s="3" t="s">
        <v>113</v>
      </c>
      <c r="AL37" s="3" t="s">
        <v>113</v>
      </c>
      <c r="AM37" s="3">
        <v>1.0500000000000001E-2</v>
      </c>
      <c r="AN37" s="3">
        <v>1.0500000000000001E-2</v>
      </c>
      <c r="AO37" s="3">
        <v>1.0500000000000001E-2</v>
      </c>
      <c r="AP37" s="3">
        <v>376</v>
      </c>
      <c r="AQ37" s="3">
        <v>328</v>
      </c>
      <c r="AR37" s="3">
        <v>82</v>
      </c>
      <c r="AS37" s="3">
        <v>1005</v>
      </c>
      <c r="AT37" s="3">
        <v>1478</v>
      </c>
      <c r="AU37" s="3">
        <v>562</v>
      </c>
      <c r="AV37" s="3">
        <v>1126</v>
      </c>
      <c r="AW37" s="3" t="s">
        <v>153</v>
      </c>
      <c r="AX37" s="3" t="s">
        <v>153</v>
      </c>
      <c r="AY37" s="3">
        <v>0</v>
      </c>
      <c r="AZ37" s="3" t="s">
        <v>2990</v>
      </c>
      <c r="BA37" s="3" t="s">
        <v>111</v>
      </c>
      <c r="BB37" s="3" t="s">
        <v>2990</v>
      </c>
      <c r="BC37" s="3" t="s">
        <v>111</v>
      </c>
      <c r="BD37" s="3">
        <v>5022</v>
      </c>
      <c r="BE37" s="3" t="s">
        <v>3410</v>
      </c>
      <c r="BG37" s="7">
        <f t="shared" si="3"/>
        <v>0.8610000000000001</v>
      </c>
      <c r="BI37" s="5"/>
      <c r="BK37" s="5"/>
      <c r="BO37" s="3" t="s">
        <v>3410</v>
      </c>
    </row>
    <row r="38" spans="1:67" x14ac:dyDescent="0.2">
      <c r="A38" s="3" t="s">
        <v>3411</v>
      </c>
      <c r="B38" s="5" t="s">
        <v>4727</v>
      </c>
      <c r="C38" s="8">
        <v>11</v>
      </c>
      <c r="D38" s="5" t="s">
        <v>4732</v>
      </c>
      <c r="F38" s="3" t="s">
        <v>4710</v>
      </c>
      <c r="G38" s="3">
        <v>17303</v>
      </c>
      <c r="H38" s="6">
        <v>44747.633333333331</v>
      </c>
      <c r="I38" s="14">
        <v>45159.626388888886</v>
      </c>
      <c r="J38" s="3" t="s">
        <v>2986</v>
      </c>
      <c r="K38" s="3" t="s">
        <v>111</v>
      </c>
      <c r="L38" s="3" t="s">
        <v>111</v>
      </c>
      <c r="M38" s="3" t="s">
        <v>111</v>
      </c>
      <c r="N38" s="3" t="s">
        <v>112</v>
      </c>
      <c r="O38" s="3" t="s">
        <v>2165</v>
      </c>
      <c r="P38" s="3" t="s">
        <v>2166</v>
      </c>
      <c r="Q38" s="3">
        <v>36</v>
      </c>
      <c r="R38" s="3" t="s">
        <v>2167</v>
      </c>
      <c r="S38" s="3">
        <v>0.8</v>
      </c>
      <c r="T38" s="3">
        <v>1</v>
      </c>
      <c r="U38" s="3">
        <v>270</v>
      </c>
      <c r="V38" s="3">
        <v>6</v>
      </c>
      <c r="W38" s="3">
        <v>8847</v>
      </c>
      <c r="X38" s="7">
        <v>7.5437000000000003</v>
      </c>
      <c r="Y38" s="3">
        <v>2.5964</v>
      </c>
      <c r="Z38" s="7">
        <v>0.34420000000000001</v>
      </c>
      <c r="AA38" s="3" t="s">
        <v>113</v>
      </c>
      <c r="AB38" s="3">
        <v>354.31420000000003</v>
      </c>
      <c r="AC38" s="3">
        <v>976.15170000000001</v>
      </c>
      <c r="AD38" s="3" t="s">
        <v>113</v>
      </c>
      <c r="AE38" s="3" t="s">
        <v>113</v>
      </c>
      <c r="AF38" s="3" t="s">
        <v>113</v>
      </c>
      <c r="AG38" s="3" t="s">
        <v>131</v>
      </c>
      <c r="AH38" s="3" t="s">
        <v>113</v>
      </c>
      <c r="AI38" s="3" t="s">
        <v>113</v>
      </c>
      <c r="AJ38" s="3" t="s">
        <v>113</v>
      </c>
      <c r="AK38" s="3" t="s">
        <v>113</v>
      </c>
      <c r="AL38" s="3" t="s">
        <v>113</v>
      </c>
      <c r="AM38" s="3">
        <v>1.0500000000000001E-2</v>
      </c>
      <c r="AN38" s="3">
        <v>1.0500000000000001E-2</v>
      </c>
      <c r="AO38" s="3">
        <v>1.0500000000000001E-2</v>
      </c>
      <c r="AP38" s="3">
        <v>372</v>
      </c>
      <c r="AQ38" s="3">
        <v>348</v>
      </c>
      <c r="AR38" s="3">
        <v>93</v>
      </c>
      <c r="AS38" s="3">
        <v>482</v>
      </c>
      <c r="AT38" s="3">
        <v>1424</v>
      </c>
      <c r="AU38" s="3">
        <v>740</v>
      </c>
      <c r="AV38" s="3">
        <v>1126</v>
      </c>
      <c r="AW38" s="3" t="s">
        <v>153</v>
      </c>
      <c r="AX38" s="3" t="s">
        <v>153</v>
      </c>
      <c r="AY38" s="3">
        <v>0</v>
      </c>
      <c r="AZ38" s="3" t="s">
        <v>2990</v>
      </c>
      <c r="BA38" s="3" t="s">
        <v>111</v>
      </c>
      <c r="BB38" s="3" t="s">
        <v>2990</v>
      </c>
      <c r="BC38" s="3" t="s">
        <v>111</v>
      </c>
      <c r="BD38" s="3">
        <v>5022</v>
      </c>
      <c r="BE38" s="3" t="s">
        <v>3411</v>
      </c>
      <c r="BG38" s="7">
        <f t="shared" si="3"/>
        <v>0.97650000000000003</v>
      </c>
      <c r="BI38" s="5"/>
      <c r="BK38" s="5"/>
      <c r="BO38" s="3" t="s">
        <v>3411</v>
      </c>
    </row>
    <row r="39" spans="1:67" x14ac:dyDescent="0.2">
      <c r="A39" s="3" t="s">
        <v>3412</v>
      </c>
      <c r="B39" s="5" t="s">
        <v>4727</v>
      </c>
      <c r="C39" s="8">
        <v>11</v>
      </c>
      <c r="D39" s="5" t="s">
        <v>4732</v>
      </c>
      <c r="F39" s="3" t="s">
        <v>4710</v>
      </c>
      <c r="G39" s="3">
        <v>17303</v>
      </c>
      <c r="H39" s="6">
        <v>44747.633333333331</v>
      </c>
      <c r="I39" s="14">
        <v>45159.629861111112</v>
      </c>
      <c r="J39" s="3" t="s">
        <v>2986</v>
      </c>
      <c r="K39" s="3" t="s">
        <v>111</v>
      </c>
      <c r="L39" s="3" t="s">
        <v>111</v>
      </c>
      <c r="M39" s="3" t="s">
        <v>111</v>
      </c>
      <c r="N39" s="3" t="s">
        <v>112</v>
      </c>
      <c r="O39" s="3" t="s">
        <v>2165</v>
      </c>
      <c r="P39" s="3" t="s">
        <v>2166</v>
      </c>
      <c r="Q39" s="3">
        <v>36</v>
      </c>
      <c r="R39" s="3" t="s">
        <v>2167</v>
      </c>
      <c r="S39" s="3">
        <v>0.8</v>
      </c>
      <c r="T39" s="3">
        <v>1</v>
      </c>
      <c r="U39" s="3">
        <v>270</v>
      </c>
      <c r="V39" s="3">
        <v>6</v>
      </c>
      <c r="W39" s="3">
        <v>8847</v>
      </c>
      <c r="X39" s="7">
        <v>7.4988000000000001</v>
      </c>
      <c r="Y39" s="3">
        <v>2.9698000000000002</v>
      </c>
      <c r="Z39" s="7">
        <v>0.39600000000000002</v>
      </c>
      <c r="AA39" s="3" t="s">
        <v>113</v>
      </c>
      <c r="AB39" s="3">
        <v>398.5806</v>
      </c>
      <c r="AC39" s="3">
        <v>949.69349999999997</v>
      </c>
      <c r="AD39" s="3" t="s">
        <v>113</v>
      </c>
      <c r="AE39" s="3" t="s">
        <v>113</v>
      </c>
      <c r="AF39" s="3" t="s">
        <v>113</v>
      </c>
      <c r="AG39" s="3" t="s">
        <v>131</v>
      </c>
      <c r="AH39" s="3" t="s">
        <v>113</v>
      </c>
      <c r="AI39" s="3" t="s">
        <v>113</v>
      </c>
      <c r="AJ39" s="3" t="s">
        <v>113</v>
      </c>
      <c r="AK39" s="3" t="s">
        <v>113</v>
      </c>
      <c r="AL39" s="3" t="s">
        <v>113</v>
      </c>
      <c r="AM39" s="3">
        <v>1.0500000000000001E-2</v>
      </c>
      <c r="AN39" s="3">
        <v>1.0500000000000001E-2</v>
      </c>
      <c r="AO39" s="3">
        <v>1.0500000000000001E-2</v>
      </c>
      <c r="AP39" s="3">
        <v>328</v>
      </c>
      <c r="AQ39" s="3">
        <v>404</v>
      </c>
      <c r="AR39" s="3">
        <v>94</v>
      </c>
      <c r="AS39" s="3">
        <v>125</v>
      </c>
      <c r="AT39" s="3">
        <v>1123</v>
      </c>
      <c r="AU39" s="3">
        <v>408</v>
      </c>
      <c r="AV39" s="3">
        <v>1126</v>
      </c>
      <c r="AW39" s="3" t="s">
        <v>153</v>
      </c>
      <c r="AX39" s="3" t="s">
        <v>153</v>
      </c>
      <c r="AY39" s="3">
        <v>0</v>
      </c>
      <c r="AZ39" s="3" t="s">
        <v>2990</v>
      </c>
      <c r="BA39" s="3" t="s">
        <v>111</v>
      </c>
      <c r="BB39" s="3" t="s">
        <v>2990</v>
      </c>
      <c r="BC39" s="3" t="s">
        <v>111</v>
      </c>
      <c r="BD39" s="3">
        <v>5022</v>
      </c>
      <c r="BE39" s="3" t="s">
        <v>3412</v>
      </c>
      <c r="BG39" s="7">
        <f t="shared" si="3"/>
        <v>0.9870000000000001</v>
      </c>
      <c r="BI39" s="5"/>
      <c r="BK39" s="5"/>
      <c r="BO39" s="3" t="s">
        <v>3412</v>
      </c>
    </row>
    <row r="41" spans="1:67" x14ac:dyDescent="0.2">
      <c r="B41" s="8"/>
      <c r="C41" s="8"/>
    </row>
    <row r="42" spans="1:67" ht="16" x14ac:dyDescent="0.2">
      <c r="B42" s="4"/>
      <c r="C42" s="4"/>
    </row>
    <row r="43" spans="1:67" x14ac:dyDescent="0.2">
      <c r="A43" s="3" t="s">
        <v>3395</v>
      </c>
      <c r="B43" s="5" t="s">
        <v>4726</v>
      </c>
      <c r="C43" s="8">
        <v>11</v>
      </c>
      <c r="D43" s="5" t="s">
        <v>4733</v>
      </c>
      <c r="F43" s="3" t="s">
        <v>4710</v>
      </c>
      <c r="G43" s="3">
        <v>17301</v>
      </c>
      <c r="H43" s="6">
        <v>44747.459027777775</v>
      </c>
      <c r="I43" s="14">
        <v>45156.557638888888</v>
      </c>
      <c r="J43" s="3" t="s">
        <v>2164</v>
      </c>
      <c r="K43" s="3" t="s">
        <v>111</v>
      </c>
      <c r="L43" s="3" t="s">
        <v>111</v>
      </c>
      <c r="M43" s="3" t="s">
        <v>111</v>
      </c>
      <c r="N43" s="3" t="s">
        <v>112</v>
      </c>
      <c r="O43" s="3" t="s">
        <v>2165</v>
      </c>
      <c r="P43" s="3" t="s">
        <v>2166</v>
      </c>
      <c r="Q43" s="3">
        <v>36</v>
      </c>
      <c r="R43" s="3" t="s">
        <v>2167</v>
      </c>
      <c r="S43" s="3">
        <v>0.8</v>
      </c>
      <c r="T43" s="3">
        <v>1</v>
      </c>
      <c r="U43" s="3">
        <v>270</v>
      </c>
      <c r="V43" s="3">
        <v>6</v>
      </c>
      <c r="W43" s="3">
        <v>8847</v>
      </c>
      <c r="X43" s="7">
        <v>4.8761000000000001</v>
      </c>
      <c r="Y43" s="3">
        <v>1.7795000000000001</v>
      </c>
      <c r="Z43" s="7">
        <v>0.3649</v>
      </c>
      <c r="AA43" s="3" t="s">
        <v>113</v>
      </c>
      <c r="AB43" s="3">
        <v>375.24810000000002</v>
      </c>
      <c r="AC43" s="3">
        <v>969.97320000000002</v>
      </c>
      <c r="AD43" s="3" t="s">
        <v>113</v>
      </c>
      <c r="AE43" s="3" t="s">
        <v>113</v>
      </c>
      <c r="AF43" s="3" t="s">
        <v>113</v>
      </c>
      <c r="AG43" s="3" t="s">
        <v>131</v>
      </c>
      <c r="AH43" s="3" t="s">
        <v>113</v>
      </c>
      <c r="AI43" s="3" t="s">
        <v>113</v>
      </c>
      <c r="AJ43" s="3" t="s">
        <v>113</v>
      </c>
      <c r="AK43" s="3" t="s">
        <v>113</v>
      </c>
      <c r="AL43" s="3" t="s">
        <v>113</v>
      </c>
      <c r="AM43" s="3">
        <v>1.0500000000000001E-2</v>
      </c>
      <c r="AN43" s="3">
        <v>1.0500000000000001E-2</v>
      </c>
      <c r="AO43" s="3">
        <v>1.0500000000000001E-2</v>
      </c>
      <c r="AP43" s="3">
        <v>400</v>
      </c>
      <c r="AQ43" s="3">
        <v>316</v>
      </c>
      <c r="AR43" s="3">
        <v>66</v>
      </c>
      <c r="AS43" s="3">
        <v>486</v>
      </c>
      <c r="AT43" s="3">
        <v>1532</v>
      </c>
      <c r="AU43" s="3">
        <v>785</v>
      </c>
      <c r="AV43" s="3">
        <v>1126</v>
      </c>
      <c r="AW43" s="3" t="s">
        <v>153</v>
      </c>
      <c r="AX43" s="3" t="s">
        <v>153</v>
      </c>
      <c r="AY43" s="3">
        <v>0</v>
      </c>
      <c r="AZ43" s="3" t="s">
        <v>2171</v>
      </c>
      <c r="BA43" s="3" t="s">
        <v>111</v>
      </c>
      <c r="BB43" s="3" t="s">
        <v>2171</v>
      </c>
      <c r="BC43" s="3" t="s">
        <v>111</v>
      </c>
      <c r="BD43" s="3">
        <v>5022</v>
      </c>
      <c r="BE43" s="3" t="s">
        <v>3395</v>
      </c>
      <c r="BG43" s="7">
        <f>AO43*AR43</f>
        <v>0.69300000000000006</v>
      </c>
      <c r="BK43" s="5"/>
      <c r="BO43" s="3" t="s">
        <v>3395</v>
      </c>
    </row>
    <row r="44" spans="1:67" x14ac:dyDescent="0.2">
      <c r="A44" s="3" t="s">
        <v>3396</v>
      </c>
      <c r="B44" s="5" t="s">
        <v>4726</v>
      </c>
      <c r="C44" s="8">
        <v>11</v>
      </c>
      <c r="D44" s="5" t="s">
        <v>4733</v>
      </c>
      <c r="F44" s="3" t="s">
        <v>4710</v>
      </c>
      <c r="G44" s="3">
        <v>17301</v>
      </c>
      <c r="H44" s="6">
        <v>44747.459027777775</v>
      </c>
      <c r="I44" s="14">
        <v>45156.561805555553</v>
      </c>
      <c r="J44" s="3" t="s">
        <v>2164</v>
      </c>
      <c r="K44" s="3" t="s">
        <v>111</v>
      </c>
      <c r="L44" s="3" t="s">
        <v>111</v>
      </c>
      <c r="M44" s="3" t="s">
        <v>111</v>
      </c>
      <c r="N44" s="3" t="s">
        <v>112</v>
      </c>
      <c r="O44" s="3" t="s">
        <v>2165</v>
      </c>
      <c r="P44" s="3" t="s">
        <v>2166</v>
      </c>
      <c r="Q44" s="3">
        <v>36</v>
      </c>
      <c r="R44" s="3" t="s">
        <v>2167</v>
      </c>
      <c r="S44" s="3">
        <v>0.8</v>
      </c>
      <c r="T44" s="3">
        <v>1</v>
      </c>
      <c r="U44" s="3">
        <v>270</v>
      </c>
      <c r="V44" s="3">
        <v>6</v>
      </c>
      <c r="W44" s="3">
        <v>8847</v>
      </c>
      <c r="X44" s="7">
        <v>6.4138000000000002</v>
      </c>
      <c r="Y44" s="3">
        <v>2.0649999999999999</v>
      </c>
      <c r="Z44" s="7">
        <v>0.32200000000000001</v>
      </c>
      <c r="AA44" s="3" t="s">
        <v>113</v>
      </c>
      <c r="AB44" s="3">
        <v>328.21960000000001</v>
      </c>
      <c r="AC44" s="3">
        <v>937.70029999999997</v>
      </c>
      <c r="AD44" s="3" t="s">
        <v>113</v>
      </c>
      <c r="AE44" s="3" t="s">
        <v>113</v>
      </c>
      <c r="AF44" s="3" t="s">
        <v>113</v>
      </c>
      <c r="AG44" s="3" t="s">
        <v>131</v>
      </c>
      <c r="AH44" s="3" t="s">
        <v>113</v>
      </c>
      <c r="AI44" s="3" t="s">
        <v>113</v>
      </c>
      <c r="AJ44" s="3" t="s">
        <v>113</v>
      </c>
      <c r="AK44" s="3" t="s">
        <v>113</v>
      </c>
      <c r="AL44" s="3" t="s">
        <v>113</v>
      </c>
      <c r="AM44" s="3">
        <v>1.0500000000000001E-2</v>
      </c>
      <c r="AN44" s="3">
        <v>1.0500000000000001E-2</v>
      </c>
      <c r="AO44" s="3">
        <v>1.0500000000000001E-2</v>
      </c>
      <c r="AP44" s="3">
        <v>348</v>
      </c>
      <c r="AQ44" s="3">
        <v>448</v>
      </c>
      <c r="AR44" s="3">
        <v>82</v>
      </c>
      <c r="AS44" s="3">
        <v>111</v>
      </c>
      <c r="AT44" s="3">
        <v>1163</v>
      </c>
      <c r="AU44" s="3">
        <v>261</v>
      </c>
      <c r="AV44" s="3">
        <v>1126</v>
      </c>
      <c r="AW44" s="3" t="s">
        <v>153</v>
      </c>
      <c r="AX44" s="3" t="s">
        <v>153</v>
      </c>
      <c r="AY44" s="3">
        <v>0</v>
      </c>
      <c r="AZ44" s="3" t="s">
        <v>2171</v>
      </c>
      <c r="BA44" s="3" t="s">
        <v>111</v>
      </c>
      <c r="BB44" s="3" t="s">
        <v>2171</v>
      </c>
      <c r="BC44" s="3" t="s">
        <v>111</v>
      </c>
      <c r="BD44" s="3">
        <v>5022</v>
      </c>
      <c r="BE44" s="3" t="s">
        <v>3396</v>
      </c>
      <c r="BG44" s="7">
        <f t="shared" ref="BG44:BG48" si="4">AO44*AR44</f>
        <v>0.8610000000000001</v>
      </c>
      <c r="BK44" s="5"/>
      <c r="BO44" s="3" t="s">
        <v>3396</v>
      </c>
    </row>
    <row r="45" spans="1:67" x14ac:dyDescent="0.2">
      <c r="A45" s="3" t="s">
        <v>3397</v>
      </c>
      <c r="B45" s="5" t="s">
        <v>4726</v>
      </c>
      <c r="C45" s="8">
        <v>11</v>
      </c>
      <c r="D45" s="5" t="s">
        <v>4733</v>
      </c>
      <c r="F45" s="3" t="s">
        <v>4710</v>
      </c>
      <c r="G45" s="3">
        <v>17302</v>
      </c>
      <c r="H45" s="6">
        <v>44747.53125</v>
      </c>
      <c r="I45" s="14">
        <v>45156.715277777781</v>
      </c>
      <c r="J45" s="3" t="s">
        <v>2591</v>
      </c>
      <c r="K45" s="3" t="s">
        <v>111</v>
      </c>
      <c r="L45" s="3" t="s">
        <v>111</v>
      </c>
      <c r="M45" s="3" t="s">
        <v>111</v>
      </c>
      <c r="N45" s="3" t="s">
        <v>112</v>
      </c>
      <c r="O45" s="3" t="s">
        <v>2165</v>
      </c>
      <c r="P45" s="3" t="s">
        <v>2166</v>
      </c>
      <c r="Q45" s="3">
        <v>36</v>
      </c>
      <c r="R45" s="3" t="s">
        <v>2167</v>
      </c>
      <c r="S45" s="3">
        <v>0.8</v>
      </c>
      <c r="T45" s="3">
        <v>1</v>
      </c>
      <c r="U45" s="3">
        <v>270</v>
      </c>
      <c r="V45" s="3">
        <v>6</v>
      </c>
      <c r="W45" s="3">
        <v>8847</v>
      </c>
      <c r="X45" s="7">
        <v>6.9686000000000003</v>
      </c>
      <c r="Y45" s="3">
        <v>2.6781000000000001</v>
      </c>
      <c r="Z45" s="7">
        <v>0.38429999999999997</v>
      </c>
      <c r="AA45" s="3" t="s">
        <v>113</v>
      </c>
      <c r="AB45" s="3">
        <v>397.34500000000003</v>
      </c>
      <c r="AC45" s="3">
        <v>963.86749999999995</v>
      </c>
      <c r="AD45" s="3" t="s">
        <v>113</v>
      </c>
      <c r="AE45" s="3" t="s">
        <v>113</v>
      </c>
      <c r="AF45" s="3" t="s">
        <v>113</v>
      </c>
      <c r="AG45" s="3" t="s">
        <v>131</v>
      </c>
      <c r="AH45" s="3" t="s">
        <v>113</v>
      </c>
      <c r="AI45" s="3" t="s">
        <v>113</v>
      </c>
      <c r="AJ45" s="3" t="s">
        <v>113</v>
      </c>
      <c r="AK45" s="3" t="s">
        <v>113</v>
      </c>
      <c r="AL45" s="3" t="s">
        <v>113</v>
      </c>
      <c r="AM45" s="3">
        <v>1.0500000000000001E-2</v>
      </c>
      <c r="AN45" s="3">
        <v>1.0500000000000001E-2</v>
      </c>
      <c r="AO45" s="3">
        <v>1.0500000000000001E-2</v>
      </c>
      <c r="AP45" s="3">
        <v>356</v>
      </c>
      <c r="AQ45" s="3">
        <v>404</v>
      </c>
      <c r="AR45" s="3">
        <v>90</v>
      </c>
      <c r="AS45" s="3">
        <v>63</v>
      </c>
      <c r="AT45" s="3">
        <v>533</v>
      </c>
      <c r="AU45" s="3">
        <v>1201</v>
      </c>
      <c r="AV45" s="3">
        <v>1685</v>
      </c>
      <c r="AW45" s="3" t="s">
        <v>153</v>
      </c>
      <c r="AX45" s="3" t="s">
        <v>153</v>
      </c>
      <c r="AY45" s="3">
        <v>0</v>
      </c>
      <c r="AZ45" s="3" t="s">
        <v>2593</v>
      </c>
      <c r="BA45" s="3" t="s">
        <v>111</v>
      </c>
      <c r="BB45" s="3" t="s">
        <v>2593</v>
      </c>
      <c r="BC45" s="3" t="s">
        <v>111</v>
      </c>
      <c r="BD45" s="3">
        <v>5022</v>
      </c>
      <c r="BE45" s="3" t="s">
        <v>3397</v>
      </c>
      <c r="BG45" s="7">
        <f t="shared" si="4"/>
        <v>0.94500000000000006</v>
      </c>
      <c r="BK45" s="5"/>
      <c r="BO45" s="3" t="s">
        <v>3397</v>
      </c>
    </row>
    <row r="46" spans="1:67" x14ac:dyDescent="0.2">
      <c r="A46" s="3" t="s">
        <v>3398</v>
      </c>
      <c r="B46" s="5" t="s">
        <v>4727</v>
      </c>
      <c r="C46" s="8">
        <v>11</v>
      </c>
      <c r="D46" s="5" t="s">
        <v>4733</v>
      </c>
      <c r="F46" s="3" t="s">
        <v>4710</v>
      </c>
      <c r="G46" s="3">
        <v>17302</v>
      </c>
      <c r="H46" s="6">
        <v>44747.53125</v>
      </c>
      <c r="I46" s="14">
        <v>45156.722222222219</v>
      </c>
      <c r="J46" s="3" t="s">
        <v>2591</v>
      </c>
      <c r="K46" s="3" t="s">
        <v>111</v>
      </c>
      <c r="L46" s="3" t="s">
        <v>111</v>
      </c>
      <c r="M46" s="3" t="s">
        <v>111</v>
      </c>
      <c r="N46" s="3" t="s">
        <v>112</v>
      </c>
      <c r="O46" s="3" t="s">
        <v>2165</v>
      </c>
      <c r="P46" s="3" t="s">
        <v>2166</v>
      </c>
      <c r="Q46" s="3">
        <v>36</v>
      </c>
      <c r="R46" s="3" t="s">
        <v>2167</v>
      </c>
      <c r="S46" s="3">
        <v>0.8</v>
      </c>
      <c r="T46" s="3">
        <v>1</v>
      </c>
      <c r="U46" s="3">
        <v>270</v>
      </c>
      <c r="V46" s="3">
        <v>6</v>
      </c>
      <c r="W46" s="3">
        <v>8847</v>
      </c>
      <c r="X46" s="7">
        <v>8.1997999999999998</v>
      </c>
      <c r="Y46" s="3">
        <v>2.9670000000000001</v>
      </c>
      <c r="Z46" s="7">
        <v>0.36180000000000001</v>
      </c>
      <c r="AA46" s="3" t="s">
        <v>113</v>
      </c>
      <c r="AB46" s="3">
        <v>366.16219999999998</v>
      </c>
      <c r="AC46" s="3">
        <v>958.56129999999996</v>
      </c>
      <c r="AD46" s="3" t="s">
        <v>113</v>
      </c>
      <c r="AE46" s="3" t="s">
        <v>113</v>
      </c>
      <c r="AF46" s="3" t="s">
        <v>113</v>
      </c>
      <c r="AG46" s="3" t="s">
        <v>131</v>
      </c>
      <c r="AH46" s="3" t="s">
        <v>113</v>
      </c>
      <c r="AI46" s="3" t="s">
        <v>113</v>
      </c>
      <c r="AJ46" s="3" t="s">
        <v>113</v>
      </c>
      <c r="AK46" s="3" t="s">
        <v>113</v>
      </c>
      <c r="AL46" s="3" t="s">
        <v>113</v>
      </c>
      <c r="AM46" s="3">
        <v>1.0500000000000001E-2</v>
      </c>
      <c r="AN46" s="3">
        <v>1.0500000000000001E-2</v>
      </c>
      <c r="AO46" s="3">
        <v>1.0500000000000001E-2</v>
      </c>
      <c r="AP46" s="3">
        <v>412</v>
      </c>
      <c r="AQ46" s="3">
        <v>380</v>
      </c>
      <c r="AR46" s="3">
        <v>98</v>
      </c>
      <c r="AS46" s="3">
        <v>377</v>
      </c>
      <c r="AT46" s="3">
        <v>249</v>
      </c>
      <c r="AU46" s="3">
        <v>944</v>
      </c>
      <c r="AV46" s="3">
        <v>1685</v>
      </c>
      <c r="AW46" s="3" t="s">
        <v>153</v>
      </c>
      <c r="AX46" s="3" t="s">
        <v>153</v>
      </c>
      <c r="AY46" s="3">
        <v>0</v>
      </c>
      <c r="AZ46" s="3" t="s">
        <v>2593</v>
      </c>
      <c r="BA46" s="3" t="s">
        <v>111</v>
      </c>
      <c r="BB46" s="3" t="s">
        <v>2593</v>
      </c>
      <c r="BC46" s="3" t="s">
        <v>111</v>
      </c>
      <c r="BD46" s="3">
        <v>5022</v>
      </c>
      <c r="BE46" s="3" t="s">
        <v>3398</v>
      </c>
      <c r="BG46" s="7">
        <f t="shared" si="4"/>
        <v>1.0290000000000001</v>
      </c>
      <c r="BK46" s="5"/>
      <c r="BO46" s="3" t="s">
        <v>3398</v>
      </c>
    </row>
    <row r="47" spans="1:67" x14ac:dyDescent="0.2">
      <c r="A47" s="3" t="s">
        <v>3399</v>
      </c>
      <c r="B47" s="5" t="s">
        <v>4727</v>
      </c>
      <c r="C47" s="8">
        <v>11</v>
      </c>
      <c r="D47" s="5" t="s">
        <v>4733</v>
      </c>
      <c r="F47" s="3" t="s">
        <v>4710</v>
      </c>
      <c r="G47" s="3">
        <v>17302</v>
      </c>
      <c r="H47" s="6">
        <v>44747.53125</v>
      </c>
      <c r="I47" s="14">
        <v>45156.759722222225</v>
      </c>
      <c r="J47" s="3" t="s">
        <v>2591</v>
      </c>
      <c r="K47" s="3" t="s">
        <v>111</v>
      </c>
      <c r="L47" s="3" t="s">
        <v>111</v>
      </c>
      <c r="M47" s="3" t="s">
        <v>111</v>
      </c>
      <c r="N47" s="3" t="s">
        <v>112</v>
      </c>
      <c r="O47" s="3" t="s">
        <v>2165</v>
      </c>
      <c r="P47" s="3" t="s">
        <v>2166</v>
      </c>
      <c r="Q47" s="3">
        <v>36</v>
      </c>
      <c r="R47" s="3" t="s">
        <v>2167</v>
      </c>
      <c r="S47" s="3">
        <v>0.8</v>
      </c>
      <c r="T47" s="3">
        <v>1</v>
      </c>
      <c r="U47" s="3">
        <v>270</v>
      </c>
      <c r="V47" s="3">
        <v>6</v>
      </c>
      <c r="W47" s="3">
        <v>8847</v>
      </c>
      <c r="X47" s="7">
        <v>7.6082999999999998</v>
      </c>
      <c r="Y47" s="3">
        <v>2.7740999999999998</v>
      </c>
      <c r="Z47" s="7">
        <v>0.36459999999999998</v>
      </c>
      <c r="AA47" s="3" t="s">
        <v>113</v>
      </c>
      <c r="AB47" s="3">
        <v>381.57190000000003</v>
      </c>
      <c r="AC47" s="3">
        <v>977.46</v>
      </c>
      <c r="AD47" s="3" t="s">
        <v>113</v>
      </c>
      <c r="AE47" s="3" t="s">
        <v>113</v>
      </c>
      <c r="AF47" s="3" t="s">
        <v>113</v>
      </c>
      <c r="AG47" s="3" t="s">
        <v>131</v>
      </c>
      <c r="AH47" s="3" t="s">
        <v>113</v>
      </c>
      <c r="AI47" s="3" t="s">
        <v>113</v>
      </c>
      <c r="AJ47" s="3" t="s">
        <v>113</v>
      </c>
      <c r="AK47" s="3" t="s">
        <v>113</v>
      </c>
      <c r="AL47" s="3" t="s">
        <v>113</v>
      </c>
      <c r="AM47" s="3">
        <v>1.0500000000000001E-2</v>
      </c>
      <c r="AN47" s="3">
        <v>1.0500000000000001E-2</v>
      </c>
      <c r="AO47" s="3">
        <v>1.0500000000000001E-2</v>
      </c>
      <c r="AP47" s="3">
        <v>440</v>
      </c>
      <c r="AQ47" s="3">
        <v>368</v>
      </c>
      <c r="AR47" s="3">
        <v>96</v>
      </c>
      <c r="AS47" s="3">
        <v>1071</v>
      </c>
      <c r="AT47" s="3">
        <v>324</v>
      </c>
      <c r="AU47" s="3">
        <v>1070</v>
      </c>
      <c r="AV47" s="3">
        <v>1685</v>
      </c>
      <c r="AW47" s="3" t="s">
        <v>153</v>
      </c>
      <c r="AX47" s="3" t="s">
        <v>153</v>
      </c>
      <c r="AY47" s="3">
        <v>0</v>
      </c>
      <c r="AZ47" s="3" t="s">
        <v>2593</v>
      </c>
      <c r="BA47" s="3" t="s">
        <v>111</v>
      </c>
      <c r="BB47" s="3" t="s">
        <v>2593</v>
      </c>
      <c r="BC47" s="3" t="s">
        <v>111</v>
      </c>
      <c r="BD47" s="3">
        <v>5022</v>
      </c>
      <c r="BE47" s="3" t="s">
        <v>3399</v>
      </c>
      <c r="BG47" s="7">
        <f t="shared" si="4"/>
        <v>1.008</v>
      </c>
      <c r="BK47" s="5"/>
      <c r="BO47" s="3" t="s">
        <v>3399</v>
      </c>
    </row>
    <row r="48" spans="1:67" x14ac:dyDescent="0.2">
      <c r="A48" s="3" t="s">
        <v>3400</v>
      </c>
      <c r="B48" s="5" t="s">
        <v>4727</v>
      </c>
      <c r="C48" s="8">
        <v>11</v>
      </c>
      <c r="D48" s="5" t="s">
        <v>4733</v>
      </c>
      <c r="F48" s="3" t="s">
        <v>4710</v>
      </c>
      <c r="G48" s="3">
        <v>17302</v>
      </c>
      <c r="H48" s="6">
        <v>44747.53125</v>
      </c>
      <c r="I48" s="14">
        <v>45156.768055555556</v>
      </c>
      <c r="J48" s="3" t="s">
        <v>2591</v>
      </c>
      <c r="K48" s="3" t="s">
        <v>111</v>
      </c>
      <c r="L48" s="3" t="s">
        <v>111</v>
      </c>
      <c r="M48" s="3" t="s">
        <v>111</v>
      </c>
      <c r="N48" s="3" t="s">
        <v>112</v>
      </c>
      <c r="O48" s="3" t="s">
        <v>2165</v>
      </c>
      <c r="P48" s="3" t="s">
        <v>2166</v>
      </c>
      <c r="Q48" s="3">
        <v>36</v>
      </c>
      <c r="R48" s="3" t="s">
        <v>2167</v>
      </c>
      <c r="S48" s="3">
        <v>0.8</v>
      </c>
      <c r="T48" s="3">
        <v>1</v>
      </c>
      <c r="U48" s="3">
        <v>270</v>
      </c>
      <c r="V48" s="3">
        <v>6</v>
      </c>
      <c r="W48" s="3">
        <v>8847</v>
      </c>
      <c r="X48" s="7">
        <v>7.0907</v>
      </c>
      <c r="Y48" s="3">
        <v>2.7395999999999998</v>
      </c>
      <c r="Z48" s="7">
        <v>0.38640000000000002</v>
      </c>
      <c r="AB48" s="3">
        <v>401.99689999999998</v>
      </c>
      <c r="AC48" s="3">
        <v>960.524</v>
      </c>
      <c r="AD48" s="3" t="s">
        <v>113</v>
      </c>
      <c r="AE48" s="3" t="s">
        <v>113</v>
      </c>
      <c r="AF48" s="3" t="s">
        <v>113</v>
      </c>
      <c r="AG48" s="3" t="s">
        <v>131</v>
      </c>
      <c r="AH48" s="3" t="s">
        <v>113</v>
      </c>
      <c r="AI48" s="3" t="s">
        <v>113</v>
      </c>
      <c r="AJ48" s="3" t="s">
        <v>113</v>
      </c>
      <c r="AK48" s="3" t="s">
        <v>113</v>
      </c>
      <c r="AL48" s="3" t="s">
        <v>113</v>
      </c>
      <c r="AM48" s="3">
        <v>1.0500000000000001E-2</v>
      </c>
      <c r="AN48" s="3">
        <v>1.0500000000000001E-2</v>
      </c>
      <c r="AO48" s="3">
        <v>1.0500000000000001E-2</v>
      </c>
      <c r="AP48" s="3">
        <v>392</v>
      </c>
      <c r="AQ48" s="3">
        <v>404</v>
      </c>
      <c r="AR48" s="3">
        <v>81</v>
      </c>
      <c r="AS48" s="3">
        <v>1210</v>
      </c>
      <c r="AT48" s="3">
        <v>570</v>
      </c>
      <c r="AU48" s="3">
        <v>279</v>
      </c>
      <c r="AV48" s="3">
        <v>1685</v>
      </c>
      <c r="AW48" s="3" t="s">
        <v>153</v>
      </c>
      <c r="AX48" s="3" t="s">
        <v>153</v>
      </c>
      <c r="AY48" s="3">
        <v>0</v>
      </c>
      <c r="AZ48" s="3" t="s">
        <v>2593</v>
      </c>
      <c r="BA48" s="3" t="s">
        <v>111</v>
      </c>
      <c r="BB48" s="3" t="s">
        <v>2593</v>
      </c>
      <c r="BC48" s="3" t="s">
        <v>111</v>
      </c>
      <c r="BD48" s="3">
        <v>5022</v>
      </c>
      <c r="BE48" s="3" t="s">
        <v>3400</v>
      </c>
      <c r="BG48" s="7">
        <f t="shared" si="4"/>
        <v>0.85050000000000003</v>
      </c>
      <c r="BK48" s="5"/>
      <c r="BO48" s="3" t="s">
        <v>3400</v>
      </c>
    </row>
    <row r="52" spans="1:67" ht="16" x14ac:dyDescent="0.2">
      <c r="A52" s="3" t="s">
        <v>3362</v>
      </c>
      <c r="B52" s="4" t="s">
        <v>4726</v>
      </c>
      <c r="C52" s="4">
        <v>12</v>
      </c>
      <c r="D52" s="5" t="s">
        <v>4734</v>
      </c>
      <c r="F52" s="3" t="s">
        <v>4710</v>
      </c>
      <c r="G52" s="3">
        <v>18041</v>
      </c>
      <c r="H52" s="6">
        <v>45156.44027777778</v>
      </c>
      <c r="I52" s="14">
        <v>45167.644444444442</v>
      </c>
      <c r="J52" s="3" t="s">
        <v>583</v>
      </c>
      <c r="K52" s="3" t="s">
        <v>111</v>
      </c>
      <c r="L52" s="3" t="s">
        <v>111</v>
      </c>
      <c r="M52" s="3" t="s">
        <v>111</v>
      </c>
      <c r="N52" s="3" t="s">
        <v>112</v>
      </c>
      <c r="O52" s="3" t="s">
        <v>113</v>
      </c>
      <c r="P52" s="3" t="s">
        <v>113</v>
      </c>
      <c r="Q52" s="3">
        <v>0</v>
      </c>
      <c r="R52" s="3" t="s">
        <v>113</v>
      </c>
      <c r="S52" s="3">
        <v>0.8</v>
      </c>
      <c r="T52" s="3">
        <v>1</v>
      </c>
      <c r="U52" s="3">
        <v>270</v>
      </c>
      <c r="V52" s="3">
        <v>6</v>
      </c>
      <c r="W52" s="3">
        <v>8847</v>
      </c>
      <c r="X52" s="7">
        <v>4.3375000000000004</v>
      </c>
      <c r="Y52" s="3">
        <v>1.9012</v>
      </c>
      <c r="Z52" s="7">
        <v>0.43830000000000002</v>
      </c>
      <c r="AB52" s="3">
        <v>454.98579999999998</v>
      </c>
      <c r="AC52" s="3">
        <v>975.71550000000002</v>
      </c>
      <c r="AD52" s="3" t="s">
        <v>113</v>
      </c>
      <c r="AE52" s="3" t="s">
        <v>113</v>
      </c>
      <c r="AF52" s="3" t="s">
        <v>113</v>
      </c>
      <c r="AG52" s="3" t="s">
        <v>131</v>
      </c>
      <c r="AH52" s="3" t="s">
        <v>113</v>
      </c>
      <c r="AI52" s="3" t="s">
        <v>113</v>
      </c>
      <c r="AJ52" s="3" t="s">
        <v>113</v>
      </c>
      <c r="AK52" s="3" t="s">
        <v>113</v>
      </c>
      <c r="AL52" s="3" t="s">
        <v>113</v>
      </c>
      <c r="AM52" s="3">
        <v>1.0500000000000001E-2</v>
      </c>
      <c r="AN52" s="3">
        <v>1.0500000000000001E-2</v>
      </c>
      <c r="AO52" s="3">
        <v>1.0500000000000001E-2</v>
      </c>
      <c r="AP52" s="3">
        <v>468</v>
      </c>
      <c r="AQ52" s="3">
        <v>384</v>
      </c>
      <c r="AR52" s="3">
        <v>64</v>
      </c>
      <c r="AS52" s="3">
        <v>145</v>
      </c>
      <c r="AT52" s="3">
        <v>1101</v>
      </c>
      <c r="AU52" s="3">
        <v>266</v>
      </c>
      <c r="AV52" s="3">
        <v>800</v>
      </c>
      <c r="AW52" s="3" t="s">
        <v>111</v>
      </c>
      <c r="AX52" s="3" t="s">
        <v>153</v>
      </c>
      <c r="AY52" s="3">
        <v>0</v>
      </c>
      <c r="AZ52" s="3" t="s">
        <v>111</v>
      </c>
      <c r="BA52" s="3" t="s">
        <v>111</v>
      </c>
      <c r="BB52" s="3" t="s">
        <v>615</v>
      </c>
      <c r="BC52" s="3" t="s">
        <v>111</v>
      </c>
      <c r="BD52" s="3">
        <v>5022</v>
      </c>
      <c r="BE52" s="3" t="s">
        <v>3362</v>
      </c>
      <c r="BG52" s="7">
        <f t="shared" ref="BG52:BG56" si="5">AO52*AR52</f>
        <v>0.67200000000000004</v>
      </c>
      <c r="BK52" s="5"/>
      <c r="BO52" s="3" t="s">
        <v>3362</v>
      </c>
    </row>
    <row r="53" spans="1:67" ht="16" x14ac:dyDescent="0.2">
      <c r="A53" s="3" t="s">
        <v>3363</v>
      </c>
      <c r="B53" s="5" t="s">
        <v>4726</v>
      </c>
      <c r="C53" s="4">
        <v>12</v>
      </c>
      <c r="D53" s="5" t="s">
        <v>4734</v>
      </c>
      <c r="F53" s="3" t="s">
        <v>4710</v>
      </c>
      <c r="G53" s="3">
        <v>18042</v>
      </c>
      <c r="H53" s="6">
        <v>45156.463888888888</v>
      </c>
      <c r="I53" s="14">
        <v>45167.65347222222</v>
      </c>
      <c r="J53" s="3" t="s">
        <v>649</v>
      </c>
      <c r="K53" s="3" t="s">
        <v>111</v>
      </c>
      <c r="L53" s="3" t="s">
        <v>111</v>
      </c>
      <c r="M53" s="3" t="s">
        <v>111</v>
      </c>
      <c r="N53" s="3" t="s">
        <v>112</v>
      </c>
      <c r="O53" s="3" t="s">
        <v>113</v>
      </c>
      <c r="P53" s="3" t="s">
        <v>113</v>
      </c>
      <c r="Q53" s="3">
        <v>0</v>
      </c>
      <c r="R53" s="3" t="s">
        <v>113</v>
      </c>
      <c r="S53" s="3">
        <v>0.8</v>
      </c>
      <c r="T53" s="3">
        <v>1</v>
      </c>
      <c r="U53" s="3">
        <v>270</v>
      </c>
      <c r="V53" s="3">
        <v>6</v>
      </c>
      <c r="W53" s="3">
        <v>8847</v>
      </c>
      <c r="X53" s="7">
        <v>5.7007000000000003</v>
      </c>
      <c r="Y53" s="3">
        <v>2.1337999999999999</v>
      </c>
      <c r="Z53" s="7">
        <v>0.37430000000000002</v>
      </c>
      <c r="AB53" s="3">
        <v>386.15109999999999</v>
      </c>
      <c r="AC53" s="3">
        <v>984.14729999999997</v>
      </c>
      <c r="AD53" s="3" t="s">
        <v>113</v>
      </c>
      <c r="AE53" s="3" t="s">
        <v>113</v>
      </c>
      <c r="AF53" s="3" t="s">
        <v>113</v>
      </c>
      <c r="AG53" s="3" t="s">
        <v>131</v>
      </c>
      <c r="AH53" s="3" t="s">
        <v>113</v>
      </c>
      <c r="AI53" s="3" t="s">
        <v>113</v>
      </c>
      <c r="AJ53" s="3" t="s">
        <v>113</v>
      </c>
      <c r="AK53" s="3" t="s">
        <v>113</v>
      </c>
      <c r="AL53" s="3" t="s">
        <v>113</v>
      </c>
      <c r="AM53" s="3">
        <v>1.0500000000000001E-2</v>
      </c>
      <c r="AN53" s="3">
        <v>1.0500000000000001E-2</v>
      </c>
      <c r="AO53" s="3">
        <v>1.0500000000000001E-2</v>
      </c>
      <c r="AP53" s="3">
        <v>328</v>
      </c>
      <c r="AQ53" s="3">
        <v>404</v>
      </c>
      <c r="AR53" s="3">
        <v>79</v>
      </c>
      <c r="AS53" s="3">
        <v>233</v>
      </c>
      <c r="AT53" s="3">
        <v>578</v>
      </c>
      <c r="AU53" s="3">
        <v>710</v>
      </c>
      <c r="AV53" s="3">
        <v>1126</v>
      </c>
      <c r="AW53" s="3" t="s">
        <v>111</v>
      </c>
      <c r="AX53" s="3" t="s">
        <v>153</v>
      </c>
      <c r="AY53" s="3">
        <v>0</v>
      </c>
      <c r="AZ53" s="3" t="s">
        <v>111</v>
      </c>
      <c r="BA53" s="3" t="s">
        <v>111</v>
      </c>
      <c r="BB53" s="3" t="s">
        <v>681</v>
      </c>
      <c r="BC53" s="3" t="s">
        <v>111</v>
      </c>
      <c r="BD53" s="3">
        <v>5022</v>
      </c>
      <c r="BE53" s="3" t="s">
        <v>3363</v>
      </c>
      <c r="BG53" s="7">
        <f t="shared" si="5"/>
        <v>0.82950000000000002</v>
      </c>
      <c r="BK53" s="5"/>
      <c r="BO53" s="3" t="s">
        <v>3363</v>
      </c>
    </row>
    <row r="54" spans="1:67" ht="16" x14ac:dyDescent="0.2">
      <c r="A54" s="3" t="s">
        <v>3364</v>
      </c>
      <c r="B54" s="4" t="s">
        <v>4726</v>
      </c>
      <c r="C54" s="4">
        <v>12</v>
      </c>
      <c r="D54" s="5" t="s">
        <v>4734</v>
      </c>
      <c r="F54" s="3" t="s">
        <v>4710</v>
      </c>
      <c r="G54" s="3">
        <v>18043</v>
      </c>
      <c r="H54" s="6">
        <v>45156.509027777778</v>
      </c>
      <c r="I54" s="14">
        <v>45167.668055555558</v>
      </c>
      <c r="J54" s="3" t="s">
        <v>714</v>
      </c>
      <c r="K54" s="3" t="s">
        <v>111</v>
      </c>
      <c r="L54" s="3" t="s">
        <v>111</v>
      </c>
      <c r="M54" s="3" t="s">
        <v>111</v>
      </c>
      <c r="N54" s="3" t="s">
        <v>112</v>
      </c>
      <c r="O54" s="3" t="s">
        <v>113</v>
      </c>
      <c r="P54" s="3" t="s">
        <v>113</v>
      </c>
      <c r="Q54" s="3">
        <v>0</v>
      </c>
      <c r="R54" s="3" t="s">
        <v>113</v>
      </c>
      <c r="S54" s="3">
        <v>0.8</v>
      </c>
      <c r="T54" s="3">
        <v>1</v>
      </c>
      <c r="U54" s="3">
        <v>270</v>
      </c>
      <c r="V54" s="3">
        <v>6</v>
      </c>
      <c r="W54" s="3">
        <v>8847</v>
      </c>
      <c r="X54" s="7">
        <v>4.6976000000000004</v>
      </c>
      <c r="Y54" s="3">
        <v>1.7907999999999999</v>
      </c>
      <c r="Z54" s="7">
        <v>0.38119999999999998</v>
      </c>
      <c r="AB54" s="3">
        <v>397.12689999999998</v>
      </c>
      <c r="AC54" s="3">
        <v>989.96220000000005</v>
      </c>
      <c r="AD54" s="3" t="s">
        <v>113</v>
      </c>
      <c r="AE54" s="3" t="s">
        <v>113</v>
      </c>
      <c r="AF54" s="3" t="s">
        <v>113</v>
      </c>
      <c r="AG54" s="3" t="s">
        <v>131</v>
      </c>
      <c r="AH54" s="3" t="s">
        <v>113</v>
      </c>
      <c r="AI54" s="3" t="s">
        <v>113</v>
      </c>
      <c r="AJ54" s="3" t="s">
        <v>113</v>
      </c>
      <c r="AK54" s="3" t="s">
        <v>113</v>
      </c>
      <c r="AL54" s="3" t="s">
        <v>113</v>
      </c>
      <c r="AM54" s="3">
        <v>1.0500000000000001E-2</v>
      </c>
      <c r="AN54" s="3">
        <v>1.0500000000000001E-2</v>
      </c>
      <c r="AO54" s="3">
        <v>1.0500000000000001E-2</v>
      </c>
      <c r="AP54" s="3">
        <v>368</v>
      </c>
      <c r="AQ54" s="3">
        <v>324</v>
      </c>
      <c r="AR54" s="3">
        <v>79</v>
      </c>
      <c r="AS54" s="3">
        <v>473</v>
      </c>
      <c r="AT54" s="3">
        <v>331</v>
      </c>
      <c r="AU54" s="3">
        <v>270</v>
      </c>
      <c r="AV54" s="3">
        <v>810</v>
      </c>
      <c r="AW54" s="3" t="s">
        <v>111</v>
      </c>
      <c r="AX54" s="3" t="s">
        <v>153</v>
      </c>
      <c r="AY54" s="3">
        <v>0</v>
      </c>
      <c r="AZ54" s="3" t="s">
        <v>111</v>
      </c>
      <c r="BA54" s="3" t="s">
        <v>111</v>
      </c>
      <c r="BB54" s="3" t="s">
        <v>746</v>
      </c>
      <c r="BC54" s="3" t="s">
        <v>111</v>
      </c>
      <c r="BD54" s="3">
        <v>5022</v>
      </c>
      <c r="BE54" s="3" t="s">
        <v>3364</v>
      </c>
      <c r="BG54" s="7">
        <f t="shared" si="5"/>
        <v>0.82950000000000002</v>
      </c>
      <c r="BK54" s="5"/>
      <c r="BO54" s="3" t="s">
        <v>3364</v>
      </c>
    </row>
    <row r="55" spans="1:67" ht="16" x14ac:dyDescent="0.2">
      <c r="A55" s="3" t="s">
        <v>3365</v>
      </c>
      <c r="B55" s="5" t="s">
        <v>4726</v>
      </c>
      <c r="C55" s="4">
        <v>12</v>
      </c>
      <c r="D55" s="5" t="s">
        <v>4734</v>
      </c>
      <c r="F55" s="3" t="s">
        <v>4710</v>
      </c>
      <c r="G55" s="3">
        <v>18044</v>
      </c>
      <c r="H55" s="6">
        <v>45156.518055555556</v>
      </c>
      <c r="I55" s="14">
        <v>45167.681250000001</v>
      </c>
      <c r="J55" s="3" t="s">
        <v>773</v>
      </c>
      <c r="K55" s="3" t="s">
        <v>111</v>
      </c>
      <c r="L55" s="3" t="s">
        <v>111</v>
      </c>
      <c r="M55" s="3" t="s">
        <v>111</v>
      </c>
      <c r="N55" s="3" t="s">
        <v>112</v>
      </c>
      <c r="O55" s="3" t="s">
        <v>113</v>
      </c>
      <c r="P55" s="3" t="s">
        <v>113</v>
      </c>
      <c r="Q55" s="3">
        <v>0</v>
      </c>
      <c r="R55" s="3" t="s">
        <v>113</v>
      </c>
      <c r="S55" s="3">
        <v>0.8</v>
      </c>
      <c r="T55" s="3">
        <v>1</v>
      </c>
      <c r="U55" s="3">
        <v>270</v>
      </c>
      <c r="V55" s="3">
        <v>6</v>
      </c>
      <c r="W55" s="3">
        <v>8847</v>
      </c>
      <c r="X55" s="7">
        <v>6.0606999999999998</v>
      </c>
      <c r="Y55" s="3">
        <v>2.5091000000000001</v>
      </c>
      <c r="Z55" s="7">
        <v>0.41399999999999998</v>
      </c>
      <c r="AB55" s="3">
        <v>434.12459999999999</v>
      </c>
      <c r="AC55" s="3">
        <v>1006.6802</v>
      </c>
      <c r="AD55" s="3" t="s">
        <v>113</v>
      </c>
      <c r="AE55" s="3" t="s">
        <v>113</v>
      </c>
      <c r="AF55" s="3" t="s">
        <v>113</v>
      </c>
      <c r="AG55" s="3" t="s">
        <v>131</v>
      </c>
      <c r="AH55" s="3" t="s">
        <v>113</v>
      </c>
      <c r="AI55" s="3" t="s">
        <v>113</v>
      </c>
      <c r="AJ55" s="3" t="s">
        <v>113</v>
      </c>
      <c r="AK55" s="3" t="s">
        <v>113</v>
      </c>
      <c r="AL55" s="3" t="s">
        <v>113</v>
      </c>
      <c r="AM55" s="3">
        <v>1.0500000000000001E-2</v>
      </c>
      <c r="AN55" s="3">
        <v>1.0500000000000001E-2</v>
      </c>
      <c r="AO55" s="3">
        <v>1.0500000000000001E-2</v>
      </c>
      <c r="AP55" s="3">
        <v>456</v>
      </c>
      <c r="AQ55" s="3">
        <v>336</v>
      </c>
      <c r="AR55" s="3">
        <v>82</v>
      </c>
      <c r="AS55" s="3">
        <v>983</v>
      </c>
      <c r="AT55" s="3">
        <v>258</v>
      </c>
      <c r="AU55" s="3">
        <v>406</v>
      </c>
      <c r="AV55" s="3">
        <v>930</v>
      </c>
      <c r="AW55" s="3" t="s">
        <v>111</v>
      </c>
      <c r="AX55" s="3" t="s">
        <v>153</v>
      </c>
      <c r="AY55" s="3">
        <v>0</v>
      </c>
      <c r="AZ55" s="3" t="s">
        <v>111</v>
      </c>
      <c r="BA55" s="3" t="s">
        <v>111</v>
      </c>
      <c r="BB55" s="3" t="s">
        <v>803</v>
      </c>
      <c r="BC55" s="3" t="s">
        <v>111</v>
      </c>
      <c r="BD55" s="3">
        <v>5022</v>
      </c>
      <c r="BE55" s="3" t="s">
        <v>3365</v>
      </c>
      <c r="BG55" s="7">
        <f t="shared" si="5"/>
        <v>0.8610000000000001</v>
      </c>
      <c r="BK55" s="5"/>
      <c r="BO55" s="3" t="s">
        <v>3365</v>
      </c>
    </row>
    <row r="56" spans="1:67" ht="16" x14ac:dyDescent="0.2">
      <c r="A56" s="3" t="s">
        <v>3366</v>
      </c>
      <c r="B56" s="4" t="s">
        <v>4726</v>
      </c>
      <c r="C56" s="4">
        <v>12</v>
      </c>
      <c r="D56" s="5" t="s">
        <v>4734</v>
      </c>
      <c r="F56" s="3" t="s">
        <v>4710</v>
      </c>
      <c r="G56" s="3">
        <v>18046</v>
      </c>
      <c r="H56" s="6">
        <v>45156.527083333334</v>
      </c>
      <c r="I56" s="14">
        <v>45167.718055555553</v>
      </c>
      <c r="J56" s="3" t="s">
        <v>835</v>
      </c>
      <c r="K56" s="3" t="s">
        <v>111</v>
      </c>
      <c r="L56" s="3" t="s">
        <v>111</v>
      </c>
      <c r="M56" s="3" t="s">
        <v>111</v>
      </c>
      <c r="N56" s="3" t="s">
        <v>112</v>
      </c>
      <c r="O56" s="3" t="s">
        <v>113</v>
      </c>
      <c r="P56" s="3" t="s">
        <v>113</v>
      </c>
      <c r="Q56" s="3">
        <v>0</v>
      </c>
      <c r="R56" s="3" t="s">
        <v>113</v>
      </c>
      <c r="S56" s="3">
        <v>0.8</v>
      </c>
      <c r="T56" s="3">
        <v>1</v>
      </c>
      <c r="U56" s="3">
        <v>270</v>
      </c>
      <c r="V56" s="3">
        <v>6</v>
      </c>
      <c r="W56" s="3">
        <v>8847</v>
      </c>
      <c r="X56" s="7">
        <v>3.9508000000000001</v>
      </c>
      <c r="Y56" s="3">
        <v>1.5757000000000001</v>
      </c>
      <c r="Z56" s="7">
        <v>0.39879999999999999</v>
      </c>
      <c r="AB56" s="3">
        <v>426.56509999999997</v>
      </c>
      <c r="AC56" s="3">
        <v>1016.1295</v>
      </c>
      <c r="AD56" s="3" t="s">
        <v>113</v>
      </c>
      <c r="AE56" s="3" t="s">
        <v>113</v>
      </c>
      <c r="AF56" s="3" t="s">
        <v>113</v>
      </c>
      <c r="AG56" s="3" t="s">
        <v>131</v>
      </c>
      <c r="AH56" s="3" t="s">
        <v>113</v>
      </c>
      <c r="AI56" s="3" t="s">
        <v>113</v>
      </c>
      <c r="AJ56" s="3" t="s">
        <v>113</v>
      </c>
      <c r="AK56" s="3" t="s">
        <v>113</v>
      </c>
      <c r="AL56" s="3" t="s">
        <v>113</v>
      </c>
      <c r="AM56" s="3">
        <v>1.0500000000000001E-2</v>
      </c>
      <c r="AN56" s="3">
        <v>1.0500000000000001E-2</v>
      </c>
      <c r="AO56" s="3">
        <v>1.0500000000000001E-2</v>
      </c>
      <c r="AP56" s="3">
        <v>304</v>
      </c>
      <c r="AQ56" s="3">
        <v>384</v>
      </c>
      <c r="AR56" s="3">
        <v>64</v>
      </c>
      <c r="AS56" s="3">
        <v>1323</v>
      </c>
      <c r="AT56" s="3">
        <v>551</v>
      </c>
      <c r="AU56" s="3">
        <v>258</v>
      </c>
      <c r="AV56" s="3">
        <v>740</v>
      </c>
      <c r="AW56" s="3" t="s">
        <v>111</v>
      </c>
      <c r="AX56" s="3" t="s">
        <v>153</v>
      </c>
      <c r="AY56" s="3">
        <v>0</v>
      </c>
      <c r="AZ56" s="3" t="s">
        <v>111</v>
      </c>
      <c r="BA56" s="3" t="s">
        <v>111</v>
      </c>
      <c r="BB56" s="3" t="s">
        <v>866</v>
      </c>
      <c r="BC56" s="3" t="s">
        <v>111</v>
      </c>
      <c r="BD56" s="3">
        <v>5022</v>
      </c>
      <c r="BE56" s="3" t="s">
        <v>3366</v>
      </c>
      <c r="BG56" s="7">
        <f t="shared" si="5"/>
        <v>0.67200000000000004</v>
      </c>
      <c r="BK56" s="5"/>
      <c r="BO56" s="3" t="s">
        <v>3366</v>
      </c>
    </row>
    <row r="63" spans="1:67" ht="16" x14ac:dyDescent="0.2">
      <c r="B63" s="4"/>
      <c r="C63" s="4"/>
    </row>
    <row r="64" spans="1:67" ht="16" x14ac:dyDescent="0.2">
      <c r="B64" s="5"/>
      <c r="C64" s="4"/>
    </row>
    <row r="65" spans="1:68" ht="16" x14ac:dyDescent="0.2">
      <c r="B65" s="4" t="s">
        <v>4728</v>
      </c>
      <c r="C65" s="4" t="s">
        <v>4729</v>
      </c>
    </row>
    <row r="66" spans="1:68" x14ac:dyDescent="0.2">
      <c r="A66" s="3" t="s">
        <v>3373</v>
      </c>
      <c r="B66" s="5" t="s">
        <v>4727</v>
      </c>
      <c r="C66" s="5">
        <v>5</v>
      </c>
      <c r="F66" s="3" t="s">
        <v>4710</v>
      </c>
      <c r="G66" s="3">
        <v>18053</v>
      </c>
      <c r="H66" s="6">
        <v>45156.62777777778</v>
      </c>
      <c r="I66" s="14">
        <v>45169.667361111111</v>
      </c>
      <c r="J66" s="3" t="s">
        <v>1255</v>
      </c>
      <c r="K66" s="3" t="s">
        <v>111</v>
      </c>
      <c r="L66" s="3" t="s">
        <v>111</v>
      </c>
      <c r="M66" s="3" t="s">
        <v>111</v>
      </c>
      <c r="N66" s="3" t="s">
        <v>112</v>
      </c>
      <c r="O66" s="3" t="s">
        <v>113</v>
      </c>
      <c r="P66" s="3" t="s">
        <v>113</v>
      </c>
      <c r="Q66" s="3">
        <v>0</v>
      </c>
      <c r="R66" s="3" t="s">
        <v>113</v>
      </c>
      <c r="S66" s="3">
        <v>0.8</v>
      </c>
      <c r="T66" s="3">
        <v>1</v>
      </c>
      <c r="U66" s="3">
        <v>270</v>
      </c>
      <c r="V66" s="3">
        <v>6</v>
      </c>
      <c r="W66" s="3">
        <v>8847</v>
      </c>
      <c r="X66" s="7">
        <v>5.2468000000000004</v>
      </c>
      <c r="Y66" s="3">
        <v>2.0451000000000001</v>
      </c>
      <c r="Z66" s="7">
        <v>0.38979999999999998</v>
      </c>
      <c r="AA66" s="3" t="s">
        <v>113</v>
      </c>
      <c r="AB66" s="3">
        <v>366.4529</v>
      </c>
      <c r="AC66" s="3">
        <v>918.51080000000002</v>
      </c>
      <c r="AD66" s="3" t="s">
        <v>113</v>
      </c>
      <c r="AE66" s="3" t="s">
        <v>113</v>
      </c>
      <c r="AF66" s="3" t="s">
        <v>113</v>
      </c>
      <c r="AG66" s="3" t="s">
        <v>131</v>
      </c>
      <c r="AH66" s="3" t="s">
        <v>113</v>
      </c>
      <c r="AI66" s="3" t="s">
        <v>113</v>
      </c>
      <c r="AJ66" s="3" t="s">
        <v>113</v>
      </c>
      <c r="AK66" s="3" t="s">
        <v>113</v>
      </c>
      <c r="AL66" s="3" t="s">
        <v>113</v>
      </c>
      <c r="AM66" s="3">
        <v>1.0500000000000001E-2</v>
      </c>
      <c r="AN66" s="3">
        <v>1.0500000000000001E-2</v>
      </c>
      <c r="AO66" s="3">
        <v>1.0500000000000001E-2</v>
      </c>
      <c r="AP66" s="3">
        <v>320</v>
      </c>
      <c r="AQ66" s="3">
        <v>364</v>
      </c>
      <c r="AR66" s="3">
        <v>75</v>
      </c>
      <c r="AS66" s="3">
        <v>201</v>
      </c>
      <c r="AT66" s="3">
        <v>721</v>
      </c>
      <c r="AU66" s="3">
        <v>349</v>
      </c>
      <c r="AV66" s="3">
        <v>1060</v>
      </c>
      <c r="AW66" s="3" t="s">
        <v>111</v>
      </c>
      <c r="AX66" s="3" t="s">
        <v>153</v>
      </c>
      <c r="AY66" s="3">
        <v>0</v>
      </c>
      <c r="AZ66" s="3" t="s">
        <v>111</v>
      </c>
      <c r="BA66" s="3" t="s">
        <v>111</v>
      </c>
      <c r="BB66" s="3" t="s">
        <v>1282</v>
      </c>
      <c r="BC66" s="3" t="s">
        <v>111</v>
      </c>
      <c r="BD66" s="3">
        <v>5022</v>
      </c>
      <c r="BE66" s="3" t="s">
        <v>3373</v>
      </c>
      <c r="BG66" s="7">
        <f t="shared" ref="BG66:BG73" si="6">AO66*AR66</f>
        <v>0.78750000000000009</v>
      </c>
      <c r="BK66" s="5"/>
      <c r="BM66" s="18"/>
      <c r="BO66" s="3" t="s">
        <v>3373</v>
      </c>
    </row>
    <row r="67" spans="1:68" x14ac:dyDescent="0.2">
      <c r="A67" s="3" t="s">
        <v>3374</v>
      </c>
      <c r="B67" s="5" t="s">
        <v>4727</v>
      </c>
      <c r="C67" s="5">
        <v>5</v>
      </c>
      <c r="F67" s="3" t="s">
        <v>4710</v>
      </c>
      <c r="G67" s="3">
        <v>18054</v>
      </c>
      <c r="H67" s="6">
        <v>45156.64166666667</v>
      </c>
      <c r="I67" s="14">
        <v>45169.677083333336</v>
      </c>
      <c r="J67" s="3" t="s">
        <v>1311</v>
      </c>
      <c r="K67" s="3" t="s">
        <v>111</v>
      </c>
      <c r="L67" s="3" t="s">
        <v>111</v>
      </c>
      <c r="M67" s="3" t="s">
        <v>111</v>
      </c>
      <c r="N67" s="3" t="s">
        <v>112</v>
      </c>
      <c r="O67" s="3" t="s">
        <v>113</v>
      </c>
      <c r="P67" s="3" t="s">
        <v>113</v>
      </c>
      <c r="Q67" s="3">
        <v>0</v>
      </c>
      <c r="R67" s="3" t="s">
        <v>113</v>
      </c>
      <c r="S67" s="3">
        <v>0.8</v>
      </c>
      <c r="T67" s="3">
        <v>1</v>
      </c>
      <c r="U67" s="3">
        <v>270</v>
      </c>
      <c r="V67" s="3">
        <v>6</v>
      </c>
      <c r="W67" s="3">
        <v>8847</v>
      </c>
      <c r="X67" s="7">
        <v>6.3722000000000003</v>
      </c>
      <c r="Y67" s="3">
        <v>2.5724</v>
      </c>
      <c r="Z67" s="7">
        <v>0.4037</v>
      </c>
      <c r="AA67" s="3" t="s">
        <v>113</v>
      </c>
      <c r="AB67" s="3">
        <v>392.69299999999998</v>
      </c>
      <c r="AC67" s="3">
        <v>924.76189999999997</v>
      </c>
      <c r="AD67" s="3" t="s">
        <v>113</v>
      </c>
      <c r="AE67" s="3" t="s">
        <v>113</v>
      </c>
      <c r="AF67" s="3" t="s">
        <v>113</v>
      </c>
      <c r="AG67" s="3" t="s">
        <v>131</v>
      </c>
      <c r="AH67" s="3" t="s">
        <v>113</v>
      </c>
      <c r="AI67" s="3" t="s">
        <v>113</v>
      </c>
      <c r="AJ67" s="3" t="s">
        <v>113</v>
      </c>
      <c r="AK67" s="3" t="s">
        <v>113</v>
      </c>
      <c r="AL67" s="3" t="s">
        <v>113</v>
      </c>
      <c r="AM67" s="3">
        <v>1.0500000000000001E-2</v>
      </c>
      <c r="AN67" s="3">
        <v>1.0500000000000001E-2</v>
      </c>
      <c r="AO67" s="3">
        <v>1.0500000000000001E-2</v>
      </c>
      <c r="AP67" s="3">
        <v>380</v>
      </c>
      <c r="AQ67" s="3">
        <v>368</v>
      </c>
      <c r="AR67" s="3">
        <v>88</v>
      </c>
      <c r="AS67" s="3">
        <v>204</v>
      </c>
      <c r="AT67" s="3">
        <v>568</v>
      </c>
      <c r="AU67" s="3">
        <v>566</v>
      </c>
      <c r="AV67" s="3">
        <v>1126</v>
      </c>
      <c r="AW67" s="3" t="s">
        <v>111</v>
      </c>
      <c r="AX67" s="3" t="s">
        <v>153</v>
      </c>
      <c r="AY67" s="3">
        <v>0</v>
      </c>
      <c r="AZ67" s="3" t="s">
        <v>111</v>
      </c>
      <c r="BA67" s="3" t="s">
        <v>111</v>
      </c>
      <c r="BB67" s="3" t="s">
        <v>1342</v>
      </c>
      <c r="BC67" s="3" t="s">
        <v>111</v>
      </c>
      <c r="BD67" s="3">
        <v>5022</v>
      </c>
      <c r="BE67" s="3" t="s">
        <v>3374</v>
      </c>
      <c r="BG67" s="7">
        <f t="shared" si="6"/>
        <v>0.92400000000000004</v>
      </c>
      <c r="BK67" s="5"/>
      <c r="BM67" s="18"/>
      <c r="BO67" s="3" t="s">
        <v>3374</v>
      </c>
    </row>
    <row r="68" spans="1:68" x14ac:dyDescent="0.2">
      <c r="A68" s="3" t="s">
        <v>3375</v>
      </c>
      <c r="B68" s="5" t="s">
        <v>4727</v>
      </c>
      <c r="C68" s="5">
        <v>5</v>
      </c>
      <c r="F68" s="3" t="s">
        <v>4710</v>
      </c>
      <c r="G68" s="3">
        <v>18055</v>
      </c>
      <c r="H68" s="6">
        <v>45156.656944444447</v>
      </c>
      <c r="I68" s="14">
        <v>45169.686805555553</v>
      </c>
      <c r="J68" s="3" t="s">
        <v>1369</v>
      </c>
      <c r="K68" s="3" t="s">
        <v>111</v>
      </c>
      <c r="L68" s="3" t="s">
        <v>111</v>
      </c>
      <c r="M68" s="3" t="s">
        <v>111</v>
      </c>
      <c r="N68" s="3" t="s">
        <v>112</v>
      </c>
      <c r="O68" s="3" t="s">
        <v>113</v>
      </c>
      <c r="P68" s="3" t="s">
        <v>113</v>
      </c>
      <c r="Q68" s="3">
        <v>0</v>
      </c>
      <c r="R68" s="3" t="s">
        <v>113</v>
      </c>
      <c r="S68" s="3">
        <v>0.8</v>
      </c>
      <c r="T68" s="3">
        <v>1</v>
      </c>
      <c r="U68" s="3">
        <v>270</v>
      </c>
      <c r="V68" s="3">
        <v>6</v>
      </c>
      <c r="W68" s="3">
        <v>8847</v>
      </c>
      <c r="X68" s="7">
        <v>5.3209999999999997</v>
      </c>
      <c r="Y68" s="3">
        <v>2.1059999999999999</v>
      </c>
      <c r="Z68" s="7">
        <v>0.39579999999999999</v>
      </c>
      <c r="AA68" s="3" t="s">
        <v>113</v>
      </c>
      <c r="AB68" s="3">
        <v>377.50139999999999</v>
      </c>
      <c r="AC68" s="3">
        <v>911.16949999999997</v>
      </c>
      <c r="AD68" s="3" t="s">
        <v>113</v>
      </c>
      <c r="AE68" s="3" t="s">
        <v>113</v>
      </c>
      <c r="AF68" s="3" t="s">
        <v>113</v>
      </c>
      <c r="AG68" s="3" t="s">
        <v>131</v>
      </c>
      <c r="AH68" s="3" t="s">
        <v>113</v>
      </c>
      <c r="AI68" s="3" t="s">
        <v>113</v>
      </c>
      <c r="AJ68" s="3" t="s">
        <v>113</v>
      </c>
      <c r="AK68" s="3" t="s">
        <v>113</v>
      </c>
      <c r="AL68" s="3" t="s">
        <v>113</v>
      </c>
      <c r="AM68" s="3">
        <v>1.0500000000000001E-2</v>
      </c>
      <c r="AN68" s="3">
        <v>1.0500000000000001E-2</v>
      </c>
      <c r="AO68" s="3">
        <v>1.0500000000000001E-2</v>
      </c>
      <c r="AP68" s="3">
        <v>396</v>
      </c>
      <c r="AQ68" s="3">
        <v>324</v>
      </c>
      <c r="AR68" s="3">
        <v>77</v>
      </c>
      <c r="AS68" s="3">
        <v>357</v>
      </c>
      <c r="AT68" s="3">
        <v>452</v>
      </c>
      <c r="AU68" s="3">
        <v>504</v>
      </c>
      <c r="AV68" s="3">
        <v>1070</v>
      </c>
      <c r="AW68" s="3" t="s">
        <v>111</v>
      </c>
      <c r="AX68" s="3" t="s">
        <v>153</v>
      </c>
      <c r="AY68" s="3">
        <v>0</v>
      </c>
      <c r="AZ68" s="3" t="s">
        <v>111</v>
      </c>
      <c r="BA68" s="3" t="s">
        <v>111</v>
      </c>
      <c r="BB68" s="3" t="s">
        <v>1397</v>
      </c>
      <c r="BC68" s="3" t="s">
        <v>111</v>
      </c>
      <c r="BD68" s="3">
        <v>5022</v>
      </c>
      <c r="BE68" s="3" t="s">
        <v>3375</v>
      </c>
      <c r="BG68" s="7">
        <f t="shared" si="6"/>
        <v>0.8085</v>
      </c>
      <c r="BK68" s="5"/>
      <c r="BM68" s="18"/>
      <c r="BO68" s="3" t="s">
        <v>3375</v>
      </c>
    </row>
    <row r="69" spans="1:68" x14ac:dyDescent="0.2">
      <c r="A69" s="3" t="s">
        <v>3376</v>
      </c>
      <c r="B69" s="5" t="s">
        <v>4727</v>
      </c>
      <c r="C69" s="5">
        <v>5</v>
      </c>
      <c r="F69" s="3" t="s">
        <v>4710</v>
      </c>
      <c r="G69" s="3">
        <v>18056</v>
      </c>
      <c r="H69" s="6">
        <v>45156.664583333331</v>
      </c>
      <c r="I69" s="14">
        <v>45169.697222222225</v>
      </c>
      <c r="J69" s="3" t="s">
        <v>1427</v>
      </c>
      <c r="K69" s="3" t="s">
        <v>111</v>
      </c>
      <c r="L69" s="3" t="s">
        <v>111</v>
      </c>
      <c r="M69" s="3" t="s">
        <v>111</v>
      </c>
      <c r="N69" s="3" t="s">
        <v>112</v>
      </c>
      <c r="O69" s="3" t="s">
        <v>113</v>
      </c>
      <c r="P69" s="3" t="s">
        <v>113</v>
      </c>
      <c r="Q69" s="3">
        <v>0</v>
      </c>
      <c r="R69" s="3" t="s">
        <v>113</v>
      </c>
      <c r="S69" s="3">
        <v>0.8</v>
      </c>
      <c r="T69" s="3">
        <v>1</v>
      </c>
      <c r="U69" s="3">
        <v>270</v>
      </c>
      <c r="V69" s="3">
        <v>6</v>
      </c>
      <c r="W69" s="3">
        <v>8847</v>
      </c>
      <c r="X69" s="7">
        <v>5.7874999999999996</v>
      </c>
      <c r="Y69" s="3">
        <v>2.4376000000000002</v>
      </c>
      <c r="Z69" s="7">
        <v>0.42120000000000002</v>
      </c>
      <c r="AA69" s="3" t="s">
        <v>113</v>
      </c>
      <c r="AB69" s="3">
        <v>408.24799999999999</v>
      </c>
      <c r="AC69" s="3">
        <v>901.1386</v>
      </c>
      <c r="AD69" s="3" t="s">
        <v>113</v>
      </c>
      <c r="AE69" s="3" t="s">
        <v>113</v>
      </c>
      <c r="AF69" s="3" t="s">
        <v>113</v>
      </c>
      <c r="AG69" s="3" t="s">
        <v>131</v>
      </c>
      <c r="AH69" s="3" t="s">
        <v>113</v>
      </c>
      <c r="AI69" s="3" t="s">
        <v>113</v>
      </c>
      <c r="AJ69" s="3" t="s">
        <v>113</v>
      </c>
      <c r="AK69" s="3" t="s">
        <v>113</v>
      </c>
      <c r="AL69" s="3" t="s">
        <v>113</v>
      </c>
      <c r="AM69" s="3">
        <v>1.0500000000000001E-2</v>
      </c>
      <c r="AN69" s="3">
        <v>1.0500000000000001E-2</v>
      </c>
      <c r="AO69" s="3">
        <v>1.0500000000000001E-2</v>
      </c>
      <c r="AP69" s="3">
        <v>360</v>
      </c>
      <c r="AQ69" s="3">
        <v>328</v>
      </c>
      <c r="AR69" s="3">
        <v>83</v>
      </c>
      <c r="AS69" s="3">
        <v>451</v>
      </c>
      <c r="AT69" s="3">
        <v>315</v>
      </c>
      <c r="AU69" s="3">
        <v>507</v>
      </c>
      <c r="AV69" s="3">
        <v>1126</v>
      </c>
      <c r="AW69" s="3" t="s">
        <v>111</v>
      </c>
      <c r="AX69" s="3" t="s">
        <v>153</v>
      </c>
      <c r="AY69" s="3">
        <v>0</v>
      </c>
      <c r="AZ69" s="3" t="s">
        <v>111</v>
      </c>
      <c r="BA69" s="3" t="s">
        <v>111</v>
      </c>
      <c r="BB69" s="3" t="s">
        <v>1457</v>
      </c>
      <c r="BC69" s="3" t="s">
        <v>111</v>
      </c>
      <c r="BD69" s="3">
        <v>5022</v>
      </c>
      <c r="BE69" s="3" t="s">
        <v>3376</v>
      </c>
      <c r="BG69" s="7">
        <f t="shared" si="6"/>
        <v>0.87150000000000005</v>
      </c>
      <c r="BK69" s="5"/>
      <c r="BM69" s="18"/>
      <c r="BO69" s="3" t="s">
        <v>3376</v>
      </c>
    </row>
    <row r="70" spans="1:68" x14ac:dyDescent="0.2">
      <c r="A70" s="3" t="s">
        <v>3377</v>
      </c>
      <c r="B70" s="5" t="s">
        <v>4727</v>
      </c>
      <c r="C70" s="5">
        <v>5</v>
      </c>
      <c r="F70" s="3" t="s">
        <v>4710</v>
      </c>
      <c r="G70" s="3">
        <v>18057</v>
      </c>
      <c r="H70" s="6">
        <v>45156.686805555553</v>
      </c>
      <c r="I70" s="14">
        <v>45169.706944444442</v>
      </c>
      <c r="J70" s="3" t="s">
        <v>1486</v>
      </c>
      <c r="K70" s="3" t="s">
        <v>111</v>
      </c>
      <c r="L70" s="3" t="s">
        <v>111</v>
      </c>
      <c r="M70" s="3" t="s">
        <v>111</v>
      </c>
      <c r="N70" s="3" t="s">
        <v>112</v>
      </c>
      <c r="O70" s="3" t="s">
        <v>113</v>
      </c>
      <c r="P70" s="3" t="s">
        <v>113</v>
      </c>
      <c r="Q70" s="3">
        <v>0</v>
      </c>
      <c r="R70" s="3" t="s">
        <v>113</v>
      </c>
      <c r="S70" s="3">
        <v>0.8</v>
      </c>
      <c r="T70" s="3">
        <v>1</v>
      </c>
      <c r="U70" s="3">
        <v>270</v>
      </c>
      <c r="V70" s="3">
        <v>6</v>
      </c>
      <c r="W70" s="3">
        <v>8847</v>
      </c>
      <c r="X70" s="7">
        <v>4.6706000000000003</v>
      </c>
      <c r="Y70" s="3">
        <v>1.8373999999999999</v>
      </c>
      <c r="Z70" s="7">
        <v>0.39340000000000003</v>
      </c>
      <c r="AA70" s="3" t="s">
        <v>113</v>
      </c>
      <c r="AB70" s="3">
        <v>385.27890000000002</v>
      </c>
      <c r="AC70" s="3">
        <v>943.87860000000001</v>
      </c>
      <c r="AD70" s="3" t="s">
        <v>113</v>
      </c>
      <c r="AE70" s="3" t="s">
        <v>113</v>
      </c>
      <c r="AF70" s="3" t="s">
        <v>113</v>
      </c>
      <c r="AG70" s="3" t="s">
        <v>131</v>
      </c>
      <c r="AH70" s="3" t="s">
        <v>113</v>
      </c>
      <c r="AI70" s="3" t="s">
        <v>113</v>
      </c>
      <c r="AJ70" s="3" t="s">
        <v>113</v>
      </c>
      <c r="AK70" s="3" t="s">
        <v>113</v>
      </c>
      <c r="AL70" s="3" t="s">
        <v>113</v>
      </c>
      <c r="AM70" s="3">
        <v>1.0500000000000001E-2</v>
      </c>
      <c r="AN70" s="3">
        <v>1.0500000000000001E-2</v>
      </c>
      <c r="AO70" s="3">
        <v>1.0500000000000001E-2</v>
      </c>
      <c r="AP70" s="3">
        <v>360</v>
      </c>
      <c r="AQ70" s="3">
        <v>316</v>
      </c>
      <c r="AR70" s="3">
        <v>70</v>
      </c>
      <c r="AS70" s="3">
        <v>877</v>
      </c>
      <c r="AT70" s="3">
        <v>318</v>
      </c>
      <c r="AU70" s="3">
        <v>675</v>
      </c>
      <c r="AV70" s="3">
        <v>1126</v>
      </c>
      <c r="AW70" s="3" t="s">
        <v>111</v>
      </c>
      <c r="AX70" s="3" t="s">
        <v>153</v>
      </c>
      <c r="AY70" s="3">
        <v>0</v>
      </c>
      <c r="AZ70" s="3" t="s">
        <v>111</v>
      </c>
      <c r="BA70" s="3" t="s">
        <v>111</v>
      </c>
      <c r="BB70" s="3" t="s">
        <v>1515</v>
      </c>
      <c r="BC70" s="3" t="s">
        <v>111</v>
      </c>
      <c r="BD70" s="3">
        <v>5022</v>
      </c>
      <c r="BE70" s="3" t="s">
        <v>3377</v>
      </c>
      <c r="BG70" s="7">
        <f t="shared" si="6"/>
        <v>0.7350000000000001</v>
      </c>
      <c r="BK70" s="5"/>
      <c r="BM70" s="18"/>
      <c r="BO70" s="3" t="s">
        <v>3377</v>
      </c>
    </row>
    <row r="71" spans="1:68" x14ac:dyDescent="0.2">
      <c r="A71" s="3" t="s">
        <v>3378</v>
      </c>
      <c r="B71" s="5" t="s">
        <v>4727</v>
      </c>
      <c r="C71" s="5">
        <v>5</v>
      </c>
      <c r="F71" s="3" t="s">
        <v>4710</v>
      </c>
      <c r="G71" s="3">
        <v>18058</v>
      </c>
      <c r="H71" s="6">
        <v>45156.697222222225</v>
      </c>
      <c r="I71" s="14">
        <v>45169.725694444445</v>
      </c>
      <c r="J71" s="3" t="s">
        <v>1541</v>
      </c>
      <c r="K71" s="3" t="s">
        <v>111</v>
      </c>
      <c r="L71" s="3" t="s">
        <v>111</v>
      </c>
      <c r="M71" s="3" t="s">
        <v>111</v>
      </c>
      <c r="N71" s="3" t="s">
        <v>112</v>
      </c>
      <c r="O71" s="3" t="s">
        <v>113</v>
      </c>
      <c r="P71" s="3" t="s">
        <v>113</v>
      </c>
      <c r="Q71" s="3">
        <v>0</v>
      </c>
      <c r="R71" s="3" t="s">
        <v>113</v>
      </c>
      <c r="S71" s="3">
        <v>0.8</v>
      </c>
      <c r="T71" s="3">
        <v>1</v>
      </c>
      <c r="U71" s="3">
        <v>270</v>
      </c>
      <c r="V71" s="3">
        <v>6</v>
      </c>
      <c r="W71" s="3">
        <v>8847</v>
      </c>
      <c r="X71" s="7">
        <v>6.9454000000000002</v>
      </c>
      <c r="Y71" s="3">
        <v>2.3757000000000001</v>
      </c>
      <c r="Z71" s="7">
        <v>0.34210000000000002</v>
      </c>
      <c r="AA71" s="3" t="s">
        <v>113</v>
      </c>
      <c r="AB71" s="3">
        <v>330.03680000000003</v>
      </c>
      <c r="AC71" s="3">
        <v>921.70899999999995</v>
      </c>
      <c r="AD71" s="3" t="s">
        <v>113</v>
      </c>
      <c r="AE71" s="3" t="s">
        <v>113</v>
      </c>
      <c r="AF71" s="3" t="s">
        <v>113</v>
      </c>
      <c r="AG71" s="3" t="s">
        <v>131</v>
      </c>
      <c r="AH71" s="3" t="s">
        <v>113</v>
      </c>
      <c r="AI71" s="3" t="s">
        <v>113</v>
      </c>
      <c r="AJ71" s="3" t="s">
        <v>113</v>
      </c>
      <c r="AK71" s="3" t="s">
        <v>113</v>
      </c>
      <c r="AL71" s="3" t="s">
        <v>113</v>
      </c>
      <c r="AM71" s="3">
        <v>1.0500000000000001E-2</v>
      </c>
      <c r="AN71" s="3">
        <v>1.0500000000000001E-2</v>
      </c>
      <c r="AO71" s="3">
        <v>1.0500000000000001E-2</v>
      </c>
      <c r="AP71" s="3">
        <v>388</v>
      </c>
      <c r="AQ71" s="3">
        <v>408</v>
      </c>
      <c r="AR71" s="3">
        <v>87</v>
      </c>
      <c r="AS71" s="3">
        <v>919</v>
      </c>
      <c r="AT71" s="3">
        <v>385</v>
      </c>
      <c r="AU71" s="3">
        <v>408</v>
      </c>
      <c r="AV71" s="3">
        <v>1060</v>
      </c>
      <c r="AW71" s="3" t="s">
        <v>111</v>
      </c>
      <c r="AX71" s="3" t="s">
        <v>153</v>
      </c>
      <c r="AY71" s="3">
        <v>0</v>
      </c>
      <c r="AZ71" s="3" t="s">
        <v>111</v>
      </c>
      <c r="BA71" s="3" t="s">
        <v>111</v>
      </c>
      <c r="BB71" s="3" t="s">
        <v>1570</v>
      </c>
      <c r="BC71" s="3" t="s">
        <v>111</v>
      </c>
      <c r="BD71" s="3">
        <v>5022</v>
      </c>
      <c r="BE71" s="3" t="s">
        <v>3378</v>
      </c>
      <c r="BG71" s="7">
        <f t="shared" si="6"/>
        <v>0.91350000000000009</v>
      </c>
      <c r="BK71" s="5"/>
      <c r="BM71" s="18"/>
      <c r="BO71" s="3" t="s">
        <v>3378</v>
      </c>
    </row>
    <row r="72" spans="1:68" x14ac:dyDescent="0.2">
      <c r="A72" s="3" t="s">
        <v>3379</v>
      </c>
      <c r="B72" s="5" t="s">
        <v>4727</v>
      </c>
      <c r="C72" s="5">
        <v>5</v>
      </c>
      <c r="F72" s="3" t="s">
        <v>4710</v>
      </c>
      <c r="G72" s="3">
        <v>18059</v>
      </c>
      <c r="H72" s="6">
        <v>45156.720833333333</v>
      </c>
      <c r="I72" s="14">
        <v>45169.738888888889</v>
      </c>
      <c r="J72" s="3" t="s">
        <v>1599</v>
      </c>
      <c r="K72" s="3" t="s">
        <v>111</v>
      </c>
      <c r="L72" s="3" t="s">
        <v>111</v>
      </c>
      <c r="M72" s="3" t="s">
        <v>111</v>
      </c>
      <c r="N72" s="3" t="s">
        <v>112</v>
      </c>
      <c r="O72" s="3" t="s">
        <v>113</v>
      </c>
      <c r="P72" s="3" t="s">
        <v>113</v>
      </c>
      <c r="Q72" s="3">
        <v>0</v>
      </c>
      <c r="R72" s="3" t="s">
        <v>113</v>
      </c>
      <c r="S72" s="3">
        <v>0.8</v>
      </c>
      <c r="T72" s="3">
        <v>1</v>
      </c>
      <c r="U72" s="3">
        <v>270</v>
      </c>
      <c r="V72" s="3">
        <v>6</v>
      </c>
      <c r="W72" s="3">
        <v>8847</v>
      </c>
      <c r="X72" s="7">
        <v>6.2218999999999998</v>
      </c>
      <c r="Y72" s="3">
        <v>2.3235000000000001</v>
      </c>
      <c r="Z72" s="7">
        <v>0.37340000000000001</v>
      </c>
      <c r="AA72" s="3" t="s">
        <v>113</v>
      </c>
      <c r="AB72" s="3">
        <v>356.71289999999999</v>
      </c>
      <c r="AC72" s="3">
        <v>899.32150000000001</v>
      </c>
      <c r="AD72" s="3" t="s">
        <v>113</v>
      </c>
      <c r="AE72" s="3" t="s">
        <v>113</v>
      </c>
      <c r="AF72" s="3" t="s">
        <v>113</v>
      </c>
      <c r="AG72" s="3" t="s">
        <v>131</v>
      </c>
      <c r="AH72" s="3" t="s">
        <v>113</v>
      </c>
      <c r="AI72" s="3" t="s">
        <v>113</v>
      </c>
      <c r="AJ72" s="3" t="s">
        <v>113</v>
      </c>
      <c r="AK72" s="3" t="s">
        <v>113</v>
      </c>
      <c r="AL72" s="3" t="s">
        <v>113</v>
      </c>
      <c r="AM72" s="3">
        <v>1.0500000000000001E-2</v>
      </c>
      <c r="AN72" s="3">
        <v>1.0500000000000001E-2</v>
      </c>
      <c r="AO72" s="3">
        <v>1.0500000000000001E-2</v>
      </c>
      <c r="AP72" s="3">
        <v>372</v>
      </c>
      <c r="AQ72" s="3">
        <v>320</v>
      </c>
      <c r="AR72" s="3">
        <v>88</v>
      </c>
      <c r="AS72" s="3">
        <v>1119</v>
      </c>
      <c r="AT72" s="3">
        <v>575</v>
      </c>
      <c r="AU72" s="3">
        <v>318</v>
      </c>
      <c r="AV72" s="3">
        <v>830</v>
      </c>
      <c r="AW72" s="3" t="s">
        <v>111</v>
      </c>
      <c r="AX72" s="3" t="s">
        <v>153</v>
      </c>
      <c r="AY72" s="3">
        <v>0</v>
      </c>
      <c r="AZ72" s="3" t="s">
        <v>111</v>
      </c>
      <c r="BA72" s="3" t="s">
        <v>111</v>
      </c>
      <c r="BB72" s="3" t="s">
        <v>1627</v>
      </c>
      <c r="BC72" s="3" t="s">
        <v>111</v>
      </c>
      <c r="BD72" s="3">
        <v>5022</v>
      </c>
      <c r="BE72" s="3" t="s">
        <v>3379</v>
      </c>
      <c r="BG72" s="7">
        <f t="shared" si="6"/>
        <v>0.92400000000000004</v>
      </c>
      <c r="BK72" s="5"/>
      <c r="BM72" s="18"/>
      <c r="BO72" s="3" t="s">
        <v>3379</v>
      </c>
      <c r="BP72" s="3" t="s">
        <v>4720</v>
      </c>
    </row>
    <row r="73" spans="1:68" x14ac:dyDescent="0.2">
      <c r="A73" s="3" t="s">
        <v>3380</v>
      </c>
      <c r="B73" s="5" t="s">
        <v>4727</v>
      </c>
      <c r="C73" s="5">
        <v>5</v>
      </c>
      <c r="F73" s="3" t="s">
        <v>4710</v>
      </c>
      <c r="G73" s="3">
        <v>18060</v>
      </c>
      <c r="H73" s="6">
        <v>45156.752083333333</v>
      </c>
      <c r="I73" s="14">
        <v>45169.75</v>
      </c>
      <c r="J73" s="3" t="s">
        <v>1653</v>
      </c>
      <c r="K73" s="3" t="s">
        <v>111</v>
      </c>
      <c r="L73" s="3" t="s">
        <v>111</v>
      </c>
      <c r="M73" s="3" t="s">
        <v>111</v>
      </c>
      <c r="N73" s="3" t="s">
        <v>112</v>
      </c>
      <c r="O73" s="3" t="s">
        <v>113</v>
      </c>
      <c r="P73" s="3" t="s">
        <v>113</v>
      </c>
      <c r="Q73" s="3">
        <v>0</v>
      </c>
      <c r="R73" s="3" t="s">
        <v>113</v>
      </c>
      <c r="S73" s="3">
        <v>0.8</v>
      </c>
      <c r="T73" s="3">
        <v>1</v>
      </c>
      <c r="U73" s="3">
        <v>270</v>
      </c>
      <c r="V73" s="3">
        <v>6</v>
      </c>
      <c r="W73" s="3">
        <v>8847</v>
      </c>
      <c r="X73" s="7">
        <v>5.3109999999999999</v>
      </c>
      <c r="Y73" s="3">
        <v>2.0278999999999998</v>
      </c>
      <c r="Z73" s="7">
        <v>0.38179999999999997</v>
      </c>
      <c r="AA73" s="3" t="s">
        <v>113</v>
      </c>
      <c r="AB73" s="3">
        <v>366.08949999999999</v>
      </c>
      <c r="AC73" s="3">
        <v>910.44259999999997</v>
      </c>
      <c r="AD73" s="3" t="s">
        <v>113</v>
      </c>
      <c r="AE73" s="3" t="s">
        <v>113</v>
      </c>
      <c r="AF73" s="3" t="s">
        <v>113</v>
      </c>
      <c r="AG73" s="3" t="s">
        <v>131</v>
      </c>
      <c r="AH73" s="3" t="s">
        <v>113</v>
      </c>
      <c r="AI73" s="3" t="s">
        <v>113</v>
      </c>
      <c r="AJ73" s="3" t="s">
        <v>113</v>
      </c>
      <c r="AK73" s="3" t="s">
        <v>113</v>
      </c>
      <c r="AL73" s="3" t="s">
        <v>113</v>
      </c>
      <c r="AM73" s="3">
        <v>1.0500000000000001E-2</v>
      </c>
      <c r="AN73" s="3">
        <v>1.0500000000000001E-2</v>
      </c>
      <c r="AO73" s="3">
        <v>1.0500000000000001E-2</v>
      </c>
      <c r="AP73" s="3">
        <v>352</v>
      </c>
      <c r="AQ73" s="3">
        <v>340</v>
      </c>
      <c r="AR73" s="3">
        <v>79</v>
      </c>
      <c r="AS73" s="3">
        <v>1208</v>
      </c>
      <c r="AT73" s="3">
        <v>645</v>
      </c>
      <c r="AU73" s="3">
        <v>371</v>
      </c>
      <c r="AV73" s="3">
        <v>1060</v>
      </c>
      <c r="AW73" s="3" t="s">
        <v>111</v>
      </c>
      <c r="AX73" s="3" t="s">
        <v>153</v>
      </c>
      <c r="AY73" s="3">
        <v>0</v>
      </c>
      <c r="AZ73" s="3" t="s">
        <v>111</v>
      </c>
      <c r="BA73" s="3" t="s">
        <v>111</v>
      </c>
      <c r="BB73" s="3" t="s">
        <v>1682</v>
      </c>
      <c r="BC73" s="3" t="s">
        <v>111</v>
      </c>
      <c r="BD73" s="3">
        <v>5022</v>
      </c>
      <c r="BE73" s="3" t="s">
        <v>3380</v>
      </c>
      <c r="BG73" s="7">
        <f t="shared" si="6"/>
        <v>0.82950000000000002</v>
      </c>
      <c r="BK73" s="5"/>
      <c r="BM73" s="18"/>
      <c r="BO73" s="3" t="s">
        <v>3380</v>
      </c>
    </row>
    <row r="75" spans="1:68" x14ac:dyDescent="0.2">
      <c r="B75" s="5"/>
      <c r="C75" s="5"/>
    </row>
    <row r="76" spans="1:68" x14ac:dyDescent="0.2">
      <c r="A76" s="3" t="s">
        <v>3381</v>
      </c>
      <c r="B76" s="5" t="s">
        <v>4727</v>
      </c>
      <c r="C76" s="5">
        <v>28</v>
      </c>
      <c r="F76" s="3" t="s">
        <v>4710</v>
      </c>
      <c r="G76" s="3">
        <v>18061</v>
      </c>
      <c r="H76" s="6">
        <v>45156.773611111108</v>
      </c>
      <c r="I76" s="14">
        <v>45169.760416666664</v>
      </c>
      <c r="J76" s="3" t="s">
        <v>1711</v>
      </c>
      <c r="K76" s="3" t="s">
        <v>111</v>
      </c>
      <c r="L76" s="3" t="s">
        <v>111</v>
      </c>
      <c r="M76" s="3" t="s">
        <v>111</v>
      </c>
      <c r="N76" s="3" t="s">
        <v>112</v>
      </c>
      <c r="O76" s="3" t="s">
        <v>113</v>
      </c>
      <c r="P76" s="3" t="s">
        <v>113</v>
      </c>
      <c r="Q76" s="3">
        <v>0</v>
      </c>
      <c r="R76" s="3" t="s">
        <v>113</v>
      </c>
      <c r="S76" s="3">
        <v>0.8</v>
      </c>
      <c r="T76" s="3">
        <v>1</v>
      </c>
      <c r="U76" s="3">
        <v>270</v>
      </c>
      <c r="V76" s="3">
        <v>6</v>
      </c>
      <c r="W76" s="3">
        <v>8847</v>
      </c>
      <c r="X76" s="7">
        <v>5.7428999999999997</v>
      </c>
      <c r="Y76" s="3">
        <v>1.7010000000000001</v>
      </c>
      <c r="Z76" s="7">
        <v>0.29620000000000002</v>
      </c>
      <c r="AA76" s="3" t="s">
        <v>113</v>
      </c>
      <c r="AB76" s="3">
        <v>300.88929999999999</v>
      </c>
      <c r="AC76" s="3">
        <v>943.00639999999999</v>
      </c>
      <c r="AD76" s="3" t="s">
        <v>113</v>
      </c>
      <c r="AE76" s="3" t="s">
        <v>113</v>
      </c>
      <c r="AF76" s="3" t="s">
        <v>113</v>
      </c>
      <c r="AG76" s="3" t="s">
        <v>131</v>
      </c>
      <c r="AH76" s="3" t="s">
        <v>113</v>
      </c>
      <c r="AI76" s="3" t="s">
        <v>113</v>
      </c>
      <c r="AJ76" s="3" t="s">
        <v>113</v>
      </c>
      <c r="AK76" s="3" t="s">
        <v>113</v>
      </c>
      <c r="AL76" s="3" t="s">
        <v>113</v>
      </c>
      <c r="AM76" s="3">
        <v>1.0500000000000001E-2</v>
      </c>
      <c r="AN76" s="3">
        <v>1.0500000000000001E-2</v>
      </c>
      <c r="AO76" s="3">
        <v>1.0500000000000001E-2</v>
      </c>
      <c r="AP76" s="3">
        <v>344</v>
      </c>
      <c r="AQ76" s="3">
        <v>400</v>
      </c>
      <c r="AR76" s="3">
        <v>69</v>
      </c>
      <c r="AS76" s="3">
        <v>1240</v>
      </c>
      <c r="AT76" s="3">
        <v>969</v>
      </c>
      <c r="AU76" s="3">
        <v>319</v>
      </c>
      <c r="AV76" s="3">
        <v>1030</v>
      </c>
      <c r="AW76" s="3" t="s">
        <v>111</v>
      </c>
      <c r="AX76" s="3" t="s">
        <v>153</v>
      </c>
      <c r="AY76" s="3">
        <v>0</v>
      </c>
      <c r="AZ76" s="3" t="s">
        <v>111</v>
      </c>
      <c r="BA76" s="3" t="s">
        <v>111</v>
      </c>
      <c r="BB76" s="3" t="s">
        <v>1740</v>
      </c>
      <c r="BC76" s="3" t="s">
        <v>111</v>
      </c>
      <c r="BD76" s="3">
        <v>5022</v>
      </c>
      <c r="BE76" s="3" t="s">
        <v>3381</v>
      </c>
      <c r="BG76" s="7">
        <f t="shared" ref="BG76:BG83" si="7">AO76*AR76</f>
        <v>0.72450000000000003</v>
      </c>
      <c r="BK76" s="5"/>
      <c r="BM76" s="18"/>
      <c r="BO76" s="3" t="s">
        <v>3381</v>
      </c>
      <c r="BP76" s="19">
        <v>60</v>
      </c>
    </row>
    <row r="77" spans="1:68" x14ac:dyDescent="0.2">
      <c r="A77" s="3" t="s">
        <v>3382</v>
      </c>
      <c r="B77" s="5" t="s">
        <v>4727</v>
      </c>
      <c r="C77" s="5">
        <v>28</v>
      </c>
      <c r="F77" s="3" t="s">
        <v>4710</v>
      </c>
      <c r="G77" s="3">
        <v>18062</v>
      </c>
      <c r="H77" s="6">
        <v>45156.795138888891</v>
      </c>
      <c r="I77" s="14">
        <v>45175.729861111111</v>
      </c>
      <c r="J77" s="3" t="s">
        <v>1772</v>
      </c>
      <c r="K77" s="3" t="s">
        <v>111</v>
      </c>
      <c r="L77" s="3" t="s">
        <v>111</v>
      </c>
      <c r="M77" s="3" t="s">
        <v>111</v>
      </c>
      <c r="N77" s="3" t="s">
        <v>112</v>
      </c>
      <c r="O77" s="3" t="s">
        <v>113</v>
      </c>
      <c r="P77" s="3" t="s">
        <v>113</v>
      </c>
      <c r="Q77" s="3">
        <v>0</v>
      </c>
      <c r="R77" s="3" t="s">
        <v>113</v>
      </c>
      <c r="S77" s="3">
        <v>0.8</v>
      </c>
      <c r="T77" s="3">
        <v>1</v>
      </c>
      <c r="U77" s="3">
        <v>270</v>
      </c>
      <c r="V77" s="3">
        <v>6</v>
      </c>
      <c r="W77" s="3">
        <v>8847</v>
      </c>
      <c r="X77" s="7">
        <v>5.4398999999999997</v>
      </c>
      <c r="Y77" s="3">
        <v>1.6409</v>
      </c>
      <c r="Z77" s="7">
        <v>0.30159999999999998</v>
      </c>
      <c r="AA77" s="3" t="s">
        <v>113</v>
      </c>
      <c r="AB77" s="3">
        <v>312.88260000000002</v>
      </c>
      <c r="AC77" s="3">
        <v>935.22879999999998</v>
      </c>
      <c r="AD77" s="3" t="s">
        <v>113</v>
      </c>
      <c r="AE77" s="3" t="s">
        <v>113</v>
      </c>
      <c r="AF77" s="3" t="s">
        <v>113</v>
      </c>
      <c r="AG77" s="3" t="s">
        <v>131</v>
      </c>
      <c r="AH77" s="3" t="s">
        <v>113</v>
      </c>
      <c r="AI77" s="3" t="s">
        <v>113</v>
      </c>
      <c r="AJ77" s="3" t="s">
        <v>113</v>
      </c>
      <c r="AK77" s="3" t="s">
        <v>113</v>
      </c>
      <c r="AL77" s="3" t="s">
        <v>113</v>
      </c>
      <c r="AM77" s="3">
        <v>1.0500000000000001E-2</v>
      </c>
      <c r="AN77" s="3">
        <v>1.0500000000000001E-2</v>
      </c>
      <c r="AO77" s="3">
        <v>1.0500000000000001E-2</v>
      </c>
      <c r="AP77" s="3">
        <v>424</v>
      </c>
      <c r="AQ77" s="3">
        <v>412</v>
      </c>
      <c r="AR77" s="3">
        <v>62</v>
      </c>
      <c r="AS77" s="3">
        <v>1048</v>
      </c>
      <c r="AT77" s="3">
        <v>1080</v>
      </c>
      <c r="AU77" s="3">
        <v>318</v>
      </c>
      <c r="AV77" s="3">
        <v>950</v>
      </c>
      <c r="AW77" s="3" t="s">
        <v>111</v>
      </c>
      <c r="AX77" s="3" t="s">
        <v>153</v>
      </c>
      <c r="AY77" s="3">
        <v>0</v>
      </c>
      <c r="AZ77" s="3" t="s">
        <v>111</v>
      </c>
      <c r="BA77" s="3" t="s">
        <v>111</v>
      </c>
      <c r="BB77" s="3" t="s">
        <v>1798</v>
      </c>
      <c r="BC77" s="3" t="s">
        <v>111</v>
      </c>
      <c r="BD77" s="3">
        <v>5022</v>
      </c>
      <c r="BE77" s="3" t="s">
        <v>3382</v>
      </c>
      <c r="BG77" s="7">
        <f t="shared" si="7"/>
        <v>0.65100000000000002</v>
      </c>
      <c r="BK77" s="5"/>
      <c r="BM77" s="18"/>
      <c r="BO77" s="3" t="s">
        <v>3382</v>
      </c>
      <c r="BP77" s="19">
        <v>69.565217391304344</v>
      </c>
    </row>
    <row r="78" spans="1:68" x14ac:dyDescent="0.2">
      <c r="A78" s="3" t="s">
        <v>3383</v>
      </c>
      <c r="B78" s="5" t="s">
        <v>4727</v>
      </c>
      <c r="C78" s="5">
        <v>28</v>
      </c>
      <c r="F78" s="3" t="s">
        <v>4710</v>
      </c>
      <c r="G78" s="3">
        <v>18063</v>
      </c>
      <c r="H78" s="6">
        <v>45156.81527777778</v>
      </c>
      <c r="I78" s="14">
        <v>45175.740972222222</v>
      </c>
      <c r="J78" s="3" t="s">
        <v>1828</v>
      </c>
      <c r="K78" s="3" t="s">
        <v>111</v>
      </c>
      <c r="L78" s="3" t="s">
        <v>111</v>
      </c>
      <c r="M78" s="3" t="s">
        <v>111</v>
      </c>
      <c r="N78" s="3" t="s">
        <v>112</v>
      </c>
      <c r="O78" s="3" t="s">
        <v>113</v>
      </c>
      <c r="P78" s="3" t="s">
        <v>113</v>
      </c>
      <c r="Q78" s="3">
        <v>0</v>
      </c>
      <c r="R78" s="3" t="s">
        <v>113</v>
      </c>
      <c r="S78" s="3">
        <v>0.8</v>
      </c>
      <c r="T78" s="3">
        <v>1</v>
      </c>
      <c r="U78" s="3">
        <v>270</v>
      </c>
      <c r="V78" s="3">
        <v>6</v>
      </c>
      <c r="W78" s="3">
        <v>8847</v>
      </c>
      <c r="X78" s="7">
        <v>7.5507999999999997</v>
      </c>
      <c r="Y78" s="3">
        <v>2.4977</v>
      </c>
      <c r="Z78" s="7">
        <v>0.33079999999999998</v>
      </c>
      <c r="AA78" s="3" t="s">
        <v>113</v>
      </c>
      <c r="AB78" s="3">
        <v>339.12270000000001</v>
      </c>
      <c r="AC78" s="3">
        <v>968.3741</v>
      </c>
      <c r="AD78" s="3" t="s">
        <v>113</v>
      </c>
      <c r="AE78" s="3" t="s">
        <v>113</v>
      </c>
      <c r="AF78" s="3" t="s">
        <v>113</v>
      </c>
      <c r="AG78" s="3" t="s">
        <v>131</v>
      </c>
      <c r="AH78" s="3" t="s">
        <v>113</v>
      </c>
      <c r="AI78" s="3" t="s">
        <v>113</v>
      </c>
      <c r="AJ78" s="3" t="s">
        <v>113</v>
      </c>
      <c r="AK78" s="3" t="s">
        <v>113</v>
      </c>
      <c r="AL78" s="3" t="s">
        <v>113</v>
      </c>
      <c r="AM78" s="3">
        <v>1.0500000000000001E-2</v>
      </c>
      <c r="AN78" s="3">
        <v>1.0500000000000001E-2</v>
      </c>
      <c r="AO78" s="3">
        <v>1.0500000000000001E-2</v>
      </c>
      <c r="AP78" s="3">
        <v>484</v>
      </c>
      <c r="AQ78" s="3">
        <v>368</v>
      </c>
      <c r="AR78" s="3">
        <v>84</v>
      </c>
      <c r="AS78" s="3">
        <v>989</v>
      </c>
      <c r="AT78" s="3">
        <v>1335</v>
      </c>
      <c r="AU78" s="3">
        <v>365</v>
      </c>
      <c r="AV78" s="3">
        <v>1090</v>
      </c>
      <c r="AW78" s="3" t="s">
        <v>111</v>
      </c>
      <c r="AX78" s="3" t="s">
        <v>153</v>
      </c>
      <c r="AY78" s="3">
        <v>0</v>
      </c>
      <c r="AZ78" s="3" t="s">
        <v>111</v>
      </c>
      <c r="BA78" s="3" t="s">
        <v>111</v>
      </c>
      <c r="BB78" s="3" t="s">
        <v>1855</v>
      </c>
      <c r="BC78" s="3" t="s">
        <v>111</v>
      </c>
      <c r="BD78" s="3">
        <v>5022</v>
      </c>
      <c r="BE78" s="3" t="s">
        <v>3383</v>
      </c>
      <c r="BG78" s="7">
        <f t="shared" si="7"/>
        <v>0.88200000000000001</v>
      </c>
      <c r="BK78" s="5"/>
      <c r="BM78" s="18"/>
      <c r="BO78" s="3" t="s">
        <v>3383</v>
      </c>
      <c r="BP78" s="19">
        <v>54.166666666666664</v>
      </c>
    </row>
    <row r="79" spans="1:68" x14ac:dyDescent="0.2">
      <c r="A79" s="3" t="s">
        <v>3384</v>
      </c>
      <c r="B79" s="5" t="s">
        <v>4727</v>
      </c>
      <c r="C79" s="5">
        <v>28</v>
      </c>
      <c r="F79" s="3" t="s">
        <v>4710</v>
      </c>
      <c r="G79" s="3">
        <v>18064</v>
      </c>
      <c r="H79" s="6">
        <v>45159.52847222222</v>
      </c>
      <c r="I79" s="14">
        <v>45175.750694444447</v>
      </c>
      <c r="J79" s="3" t="s">
        <v>1883</v>
      </c>
      <c r="K79" s="3" t="s">
        <v>111</v>
      </c>
      <c r="L79" s="3" t="s">
        <v>111</v>
      </c>
      <c r="M79" s="3" t="s">
        <v>111</v>
      </c>
      <c r="N79" s="3" t="s">
        <v>112</v>
      </c>
      <c r="O79" s="3" t="s">
        <v>113</v>
      </c>
      <c r="P79" s="3" t="s">
        <v>113</v>
      </c>
      <c r="Q79" s="3">
        <v>0</v>
      </c>
      <c r="R79" s="3" t="s">
        <v>113</v>
      </c>
      <c r="S79" s="3">
        <v>0.8</v>
      </c>
      <c r="T79" s="3">
        <v>1</v>
      </c>
      <c r="U79" s="3">
        <v>270</v>
      </c>
      <c r="V79" s="3">
        <v>6</v>
      </c>
      <c r="W79" s="3">
        <v>8847</v>
      </c>
      <c r="X79" s="7">
        <v>6.8068999999999997</v>
      </c>
      <c r="Y79" s="3">
        <v>2.0190000000000001</v>
      </c>
      <c r="Z79" s="7">
        <v>0.29659999999999997</v>
      </c>
      <c r="AA79" s="3" t="s">
        <v>113</v>
      </c>
      <c r="AB79" s="3">
        <v>300.5258</v>
      </c>
      <c r="AC79" s="3">
        <v>937.19150000000002</v>
      </c>
      <c r="AD79" s="3" t="s">
        <v>113</v>
      </c>
      <c r="AE79" s="3" t="s">
        <v>113</v>
      </c>
      <c r="AF79" s="3" t="s">
        <v>113</v>
      </c>
      <c r="AG79" s="3" t="s">
        <v>131</v>
      </c>
      <c r="AH79" s="3" t="s">
        <v>113</v>
      </c>
      <c r="AI79" s="3" t="s">
        <v>113</v>
      </c>
      <c r="AJ79" s="3" t="s">
        <v>113</v>
      </c>
      <c r="AK79" s="3" t="s">
        <v>113</v>
      </c>
      <c r="AL79" s="3" t="s">
        <v>113</v>
      </c>
      <c r="AM79" s="3">
        <v>1.0500000000000001E-2</v>
      </c>
      <c r="AN79" s="3">
        <v>1.0500000000000001E-2</v>
      </c>
      <c r="AO79" s="3">
        <v>1.0500000000000001E-2</v>
      </c>
      <c r="AP79" s="3">
        <v>400</v>
      </c>
      <c r="AQ79" s="3">
        <v>344</v>
      </c>
      <c r="AR79" s="3">
        <v>81</v>
      </c>
      <c r="AS79" s="3">
        <v>886</v>
      </c>
      <c r="AT79" s="3">
        <v>1380</v>
      </c>
      <c r="AU79" s="3">
        <v>510</v>
      </c>
      <c r="AV79" s="3">
        <v>1100</v>
      </c>
      <c r="AW79" s="3" t="s">
        <v>111</v>
      </c>
      <c r="AX79" s="3" t="s">
        <v>153</v>
      </c>
      <c r="AY79" s="3">
        <v>0</v>
      </c>
      <c r="AZ79" s="3" t="s">
        <v>111</v>
      </c>
      <c r="BA79" s="3" t="s">
        <v>111</v>
      </c>
      <c r="BB79" s="3" t="s">
        <v>1911</v>
      </c>
      <c r="BC79" s="3" t="s">
        <v>111</v>
      </c>
      <c r="BD79" s="3">
        <v>5022</v>
      </c>
      <c r="BE79" s="3" t="s">
        <v>3384</v>
      </c>
      <c r="BG79" s="7">
        <f t="shared" si="7"/>
        <v>0.85050000000000003</v>
      </c>
      <c r="BK79" s="5"/>
      <c r="BM79" s="18"/>
      <c r="BO79" s="3" t="s">
        <v>3384</v>
      </c>
      <c r="BP79" s="19">
        <v>43.333333333333336</v>
      </c>
    </row>
    <row r="80" spans="1:68" x14ac:dyDescent="0.2">
      <c r="A80" s="3" t="s">
        <v>3385</v>
      </c>
      <c r="B80" s="5" t="s">
        <v>4727</v>
      </c>
      <c r="C80" s="5">
        <v>28</v>
      </c>
      <c r="F80" s="3" t="s">
        <v>4710</v>
      </c>
      <c r="G80" s="3">
        <v>18065</v>
      </c>
      <c r="H80" s="6">
        <v>45159.549305555556</v>
      </c>
      <c r="I80" s="14">
        <v>45175.761805555558</v>
      </c>
      <c r="J80" s="3" t="s">
        <v>1941</v>
      </c>
      <c r="K80" s="3" t="s">
        <v>111</v>
      </c>
      <c r="L80" s="3" t="s">
        <v>111</v>
      </c>
      <c r="M80" s="3" t="s">
        <v>111</v>
      </c>
      <c r="N80" s="3" t="s">
        <v>112</v>
      </c>
      <c r="O80" s="3" t="s">
        <v>113</v>
      </c>
      <c r="P80" s="3" t="s">
        <v>113</v>
      </c>
      <c r="Q80" s="3">
        <v>0</v>
      </c>
      <c r="R80" s="3" t="s">
        <v>113</v>
      </c>
      <c r="S80" s="3">
        <v>0.8</v>
      </c>
      <c r="T80" s="3">
        <v>1</v>
      </c>
      <c r="U80" s="3">
        <v>270</v>
      </c>
      <c r="V80" s="3">
        <v>6</v>
      </c>
      <c r="W80" s="3">
        <v>8847</v>
      </c>
      <c r="X80" s="7">
        <v>5.9966999999999997</v>
      </c>
      <c r="Y80" s="3">
        <v>1.6892</v>
      </c>
      <c r="Z80" s="7">
        <v>0.28170000000000001</v>
      </c>
      <c r="AA80" s="3" t="s">
        <v>113</v>
      </c>
      <c r="AB80" s="3">
        <v>278.42899999999997</v>
      </c>
      <c r="AC80" s="3">
        <v>915.53070000000002</v>
      </c>
      <c r="AD80" s="3" t="s">
        <v>113</v>
      </c>
      <c r="AE80" s="3" t="s">
        <v>113</v>
      </c>
      <c r="AF80" s="3" t="s">
        <v>113</v>
      </c>
      <c r="AG80" s="3" t="s">
        <v>131</v>
      </c>
      <c r="AH80" s="3" t="s">
        <v>113</v>
      </c>
      <c r="AI80" s="3" t="s">
        <v>113</v>
      </c>
      <c r="AJ80" s="3" t="s">
        <v>113</v>
      </c>
      <c r="AK80" s="3" t="s">
        <v>113</v>
      </c>
      <c r="AL80" s="3" t="s">
        <v>113</v>
      </c>
      <c r="AM80" s="3">
        <v>1.0500000000000001E-2</v>
      </c>
      <c r="AN80" s="3">
        <v>1.0500000000000001E-2</v>
      </c>
      <c r="AO80" s="3">
        <v>1.0500000000000001E-2</v>
      </c>
      <c r="AP80" s="3">
        <v>420</v>
      </c>
      <c r="AQ80" s="3">
        <v>384</v>
      </c>
      <c r="AR80" s="3">
        <v>72</v>
      </c>
      <c r="AS80" s="3">
        <v>518</v>
      </c>
      <c r="AT80" s="3">
        <v>1376</v>
      </c>
      <c r="AU80" s="3">
        <v>416</v>
      </c>
      <c r="AV80" s="3">
        <v>1030</v>
      </c>
      <c r="AW80" s="3" t="s">
        <v>111</v>
      </c>
      <c r="AX80" s="3" t="s">
        <v>153</v>
      </c>
      <c r="AY80" s="3">
        <v>0</v>
      </c>
      <c r="AZ80" s="3" t="s">
        <v>111</v>
      </c>
      <c r="BA80" s="3" t="s">
        <v>111</v>
      </c>
      <c r="BB80" s="3" t="s">
        <v>1968</v>
      </c>
      <c r="BC80" s="3" t="s">
        <v>111</v>
      </c>
      <c r="BD80" s="3">
        <v>5022</v>
      </c>
      <c r="BE80" s="3" t="s">
        <v>3385</v>
      </c>
      <c r="BG80" s="7">
        <f t="shared" si="7"/>
        <v>0.75600000000000001</v>
      </c>
      <c r="BK80" s="5"/>
      <c r="BM80" s="18"/>
      <c r="BO80" s="3" t="s">
        <v>3385</v>
      </c>
      <c r="BP80" s="19">
        <v>14.814814814814813</v>
      </c>
    </row>
    <row r="81" spans="1:68" x14ac:dyDescent="0.2">
      <c r="A81" s="3" t="s">
        <v>3386</v>
      </c>
      <c r="B81" s="5" t="s">
        <v>4727</v>
      </c>
      <c r="C81" s="5">
        <v>28</v>
      </c>
      <c r="F81" s="3" t="s">
        <v>4710</v>
      </c>
      <c r="G81" s="3">
        <v>18066</v>
      </c>
      <c r="H81" s="6">
        <v>45159.570138888892</v>
      </c>
      <c r="I81" s="14">
        <v>45175.772222222222</v>
      </c>
      <c r="J81" s="3" t="s">
        <v>1997</v>
      </c>
      <c r="K81" s="3" t="s">
        <v>111</v>
      </c>
      <c r="L81" s="3" t="s">
        <v>111</v>
      </c>
      <c r="M81" s="3" t="s">
        <v>111</v>
      </c>
      <c r="N81" s="3" t="s">
        <v>112</v>
      </c>
      <c r="O81" s="3" t="s">
        <v>113</v>
      </c>
      <c r="P81" s="3" t="s">
        <v>113</v>
      </c>
      <c r="Q81" s="3">
        <v>0</v>
      </c>
      <c r="R81" s="3" t="s">
        <v>113</v>
      </c>
      <c r="S81" s="3">
        <v>0.8</v>
      </c>
      <c r="T81" s="3">
        <v>1</v>
      </c>
      <c r="U81" s="3">
        <v>270</v>
      </c>
      <c r="V81" s="3">
        <v>6</v>
      </c>
      <c r="W81" s="3">
        <v>8847</v>
      </c>
      <c r="X81" s="7">
        <v>6.1498999999999997</v>
      </c>
      <c r="Y81" s="3">
        <v>1.6225000000000001</v>
      </c>
      <c r="Z81" s="7">
        <v>0.26379999999999998</v>
      </c>
      <c r="AA81" s="3" t="s">
        <v>113</v>
      </c>
      <c r="AB81" s="3">
        <v>267.52589999999998</v>
      </c>
      <c r="AC81" s="3">
        <v>934.28390000000002</v>
      </c>
      <c r="AD81" s="3" t="s">
        <v>113</v>
      </c>
      <c r="AE81" s="3" t="s">
        <v>113</v>
      </c>
      <c r="AF81" s="3" t="s">
        <v>113</v>
      </c>
      <c r="AG81" s="3" t="s">
        <v>131</v>
      </c>
      <c r="AH81" s="3" t="s">
        <v>113</v>
      </c>
      <c r="AI81" s="3" t="s">
        <v>113</v>
      </c>
      <c r="AJ81" s="3" t="s">
        <v>113</v>
      </c>
      <c r="AK81" s="3" t="s">
        <v>113</v>
      </c>
      <c r="AL81" s="3" t="s">
        <v>113</v>
      </c>
      <c r="AM81" s="3">
        <v>1.0500000000000001E-2</v>
      </c>
      <c r="AN81" s="3">
        <v>1.0500000000000001E-2</v>
      </c>
      <c r="AO81" s="3">
        <v>1.0500000000000001E-2</v>
      </c>
      <c r="AP81" s="3">
        <v>392</v>
      </c>
      <c r="AQ81" s="3">
        <v>352</v>
      </c>
      <c r="AR81" s="3">
        <v>85</v>
      </c>
      <c r="AS81" s="3">
        <v>454</v>
      </c>
      <c r="AT81" s="3">
        <v>1402</v>
      </c>
      <c r="AU81" s="3">
        <v>646</v>
      </c>
      <c r="AV81" s="3">
        <v>1126</v>
      </c>
      <c r="AW81" s="3" t="s">
        <v>111</v>
      </c>
      <c r="AX81" s="3" t="s">
        <v>153</v>
      </c>
      <c r="AY81" s="3">
        <v>0</v>
      </c>
      <c r="AZ81" s="3" t="s">
        <v>111</v>
      </c>
      <c r="BA81" s="3" t="s">
        <v>111</v>
      </c>
      <c r="BB81" s="3" t="s">
        <v>2027</v>
      </c>
      <c r="BC81" s="3" t="s">
        <v>111</v>
      </c>
      <c r="BD81" s="3">
        <v>5022</v>
      </c>
      <c r="BE81" s="3" t="s">
        <v>3386</v>
      </c>
      <c r="BG81" s="7">
        <f t="shared" si="7"/>
        <v>0.89250000000000007</v>
      </c>
      <c r="BK81" s="5"/>
      <c r="BM81" s="18"/>
      <c r="BO81" s="3" t="s">
        <v>3386</v>
      </c>
      <c r="BP81" s="19">
        <v>3.8461538461538463</v>
      </c>
    </row>
    <row r="82" spans="1:68" x14ac:dyDescent="0.2">
      <c r="A82" s="3" t="s">
        <v>3387</v>
      </c>
      <c r="B82" s="5" t="s">
        <v>4727</v>
      </c>
      <c r="C82" s="5">
        <v>28</v>
      </c>
      <c r="F82" s="3" t="s">
        <v>4710</v>
      </c>
      <c r="G82" s="3">
        <v>18067</v>
      </c>
      <c r="H82" s="6">
        <v>45159.601388888892</v>
      </c>
      <c r="I82" s="14">
        <v>45175.782638888886</v>
      </c>
      <c r="J82" s="3" t="s">
        <v>2056</v>
      </c>
      <c r="K82" s="3" t="s">
        <v>111</v>
      </c>
      <c r="L82" s="3" t="s">
        <v>111</v>
      </c>
      <c r="M82" s="3" t="s">
        <v>111</v>
      </c>
      <c r="N82" s="3" t="s">
        <v>112</v>
      </c>
      <c r="O82" s="3" t="s">
        <v>113</v>
      </c>
      <c r="P82" s="3" t="s">
        <v>113</v>
      </c>
      <c r="Q82" s="3">
        <v>0</v>
      </c>
      <c r="R82" s="3" t="s">
        <v>113</v>
      </c>
      <c r="S82" s="3">
        <v>0.8</v>
      </c>
      <c r="T82" s="3">
        <v>1</v>
      </c>
      <c r="U82" s="3">
        <v>270</v>
      </c>
      <c r="V82" s="3">
        <v>6</v>
      </c>
      <c r="W82" s="3">
        <v>8847</v>
      </c>
      <c r="X82" s="7">
        <v>5.8494999999999999</v>
      </c>
      <c r="Y82" s="3">
        <v>2.4279000000000002</v>
      </c>
      <c r="Z82" s="7">
        <v>0.41510000000000002</v>
      </c>
      <c r="AA82" s="3" t="s">
        <v>113</v>
      </c>
      <c r="AB82" s="3">
        <v>437.17739999999998</v>
      </c>
      <c r="AC82" s="3">
        <v>980.36749999999995</v>
      </c>
      <c r="AD82" s="3" t="s">
        <v>113</v>
      </c>
      <c r="AE82" s="3" t="s">
        <v>113</v>
      </c>
      <c r="AF82" s="3" t="s">
        <v>113</v>
      </c>
      <c r="AG82" s="3" t="s">
        <v>131</v>
      </c>
      <c r="AH82" s="3" t="s">
        <v>113</v>
      </c>
      <c r="AI82" s="3" t="s">
        <v>113</v>
      </c>
      <c r="AJ82" s="3" t="s">
        <v>113</v>
      </c>
      <c r="AK82" s="3" t="s">
        <v>113</v>
      </c>
      <c r="AL82" s="3" t="s">
        <v>113</v>
      </c>
      <c r="AM82" s="3">
        <v>1.0500000000000001E-2</v>
      </c>
      <c r="AN82" s="3">
        <v>1.0500000000000001E-2</v>
      </c>
      <c r="AO82" s="3">
        <v>1.0500000000000001E-2</v>
      </c>
      <c r="AP82" s="3">
        <v>404</v>
      </c>
      <c r="AQ82" s="3">
        <v>444</v>
      </c>
      <c r="AR82" s="3">
        <v>65</v>
      </c>
      <c r="AS82" s="3">
        <v>147</v>
      </c>
      <c r="AT82" s="3">
        <v>1136</v>
      </c>
      <c r="AU82" s="3">
        <v>286</v>
      </c>
      <c r="AV82" s="3">
        <v>870</v>
      </c>
      <c r="AW82" s="3" t="s">
        <v>111</v>
      </c>
      <c r="AX82" s="3" t="s">
        <v>153</v>
      </c>
      <c r="AY82" s="3">
        <v>0</v>
      </c>
      <c r="AZ82" s="3" t="s">
        <v>111</v>
      </c>
      <c r="BA82" s="3" t="s">
        <v>111</v>
      </c>
      <c r="BB82" s="3" t="s">
        <v>2085</v>
      </c>
      <c r="BC82" s="3" t="s">
        <v>111</v>
      </c>
      <c r="BD82" s="3">
        <v>5022</v>
      </c>
      <c r="BE82" s="3" t="s">
        <v>3387</v>
      </c>
      <c r="BG82" s="7">
        <f t="shared" si="7"/>
        <v>0.6825</v>
      </c>
      <c r="BK82" s="5"/>
      <c r="BM82" s="18"/>
      <c r="BO82" s="3" t="s">
        <v>3387</v>
      </c>
      <c r="BP82" s="19">
        <v>45.833333333333329</v>
      </c>
    </row>
    <row r="83" spans="1:68" x14ac:dyDescent="0.2">
      <c r="A83" s="3" t="s">
        <v>3388</v>
      </c>
      <c r="B83" s="5" t="s">
        <v>4727</v>
      </c>
      <c r="C83" s="5">
        <v>28</v>
      </c>
      <c r="F83" s="3" t="s">
        <v>4710</v>
      </c>
      <c r="G83" s="3">
        <v>18068</v>
      </c>
      <c r="H83" s="6">
        <v>45159.618750000001</v>
      </c>
      <c r="I83" s="14">
        <v>45175.793055555558</v>
      </c>
      <c r="J83" s="3" t="s">
        <v>2112</v>
      </c>
      <c r="K83" s="3" t="s">
        <v>111</v>
      </c>
      <c r="L83" s="3" t="s">
        <v>111</v>
      </c>
      <c r="M83" s="3" t="s">
        <v>111</v>
      </c>
      <c r="N83" s="3" t="s">
        <v>112</v>
      </c>
      <c r="O83" s="3" t="s">
        <v>113</v>
      </c>
      <c r="P83" s="3" t="s">
        <v>113</v>
      </c>
      <c r="Q83" s="3">
        <v>0</v>
      </c>
      <c r="R83" s="3" t="s">
        <v>113</v>
      </c>
      <c r="S83" s="3">
        <v>0.8</v>
      </c>
      <c r="T83" s="3">
        <v>1</v>
      </c>
      <c r="U83" s="3">
        <v>270</v>
      </c>
      <c r="V83" s="3">
        <v>6</v>
      </c>
      <c r="W83" s="3">
        <v>8847</v>
      </c>
      <c r="X83" s="7">
        <v>5.5487000000000002</v>
      </c>
      <c r="Y83" s="3">
        <v>2.3614000000000002</v>
      </c>
      <c r="Z83" s="7">
        <v>0.42559999999999998</v>
      </c>
      <c r="AA83" s="3" t="s">
        <v>113</v>
      </c>
      <c r="AB83" s="3">
        <v>438.48579999999998</v>
      </c>
      <c r="AC83" s="3">
        <v>973.17139999999995</v>
      </c>
      <c r="AD83" s="3" t="s">
        <v>113</v>
      </c>
      <c r="AE83" s="3" t="s">
        <v>113</v>
      </c>
      <c r="AF83" s="3" t="s">
        <v>113</v>
      </c>
      <c r="AG83" s="3" t="s">
        <v>131</v>
      </c>
      <c r="AH83" s="3" t="s">
        <v>113</v>
      </c>
      <c r="AI83" s="3" t="s">
        <v>113</v>
      </c>
      <c r="AJ83" s="3" t="s">
        <v>113</v>
      </c>
      <c r="AK83" s="3" t="s">
        <v>113</v>
      </c>
      <c r="AL83" s="3" t="s">
        <v>113</v>
      </c>
      <c r="AM83" s="3">
        <v>1.0500000000000001E-2</v>
      </c>
      <c r="AN83" s="3">
        <v>1.0500000000000001E-2</v>
      </c>
      <c r="AO83" s="3">
        <v>1.0500000000000001E-2</v>
      </c>
      <c r="AP83" s="3">
        <v>384</v>
      </c>
      <c r="AQ83" s="3">
        <v>424</v>
      </c>
      <c r="AR83" s="3">
        <v>66</v>
      </c>
      <c r="AS83" s="3">
        <v>136</v>
      </c>
      <c r="AT83" s="3">
        <v>1059</v>
      </c>
      <c r="AU83" s="3">
        <v>535</v>
      </c>
      <c r="AV83" s="3">
        <v>1126</v>
      </c>
      <c r="AW83" s="3" t="s">
        <v>111</v>
      </c>
      <c r="AX83" s="3" t="s">
        <v>153</v>
      </c>
      <c r="AY83" s="3">
        <v>0</v>
      </c>
      <c r="AZ83" s="3" t="s">
        <v>111</v>
      </c>
      <c r="BA83" s="3" t="s">
        <v>111</v>
      </c>
      <c r="BB83" s="3" t="s">
        <v>2141</v>
      </c>
      <c r="BC83" s="3" t="s">
        <v>111</v>
      </c>
      <c r="BD83" s="3">
        <v>5022</v>
      </c>
      <c r="BE83" s="3" t="s">
        <v>3388</v>
      </c>
      <c r="BG83" s="7">
        <f t="shared" si="7"/>
        <v>0.69300000000000006</v>
      </c>
      <c r="BK83" s="5"/>
      <c r="BM83" s="18"/>
      <c r="BO83" s="3" t="s">
        <v>3388</v>
      </c>
      <c r="BP83" s="19">
        <v>42.424242424242422</v>
      </c>
    </row>
    <row r="84" spans="1:68" ht="16" x14ac:dyDescent="0.2">
      <c r="B84" s="5"/>
      <c r="C84" s="4"/>
    </row>
    <row r="85" spans="1:68" ht="16" x14ac:dyDescent="0.2">
      <c r="B85" s="4"/>
      <c r="C85" s="4"/>
    </row>
    <row r="86" spans="1:68" ht="16" x14ac:dyDescent="0.2">
      <c r="B86" s="4"/>
      <c r="C86" s="4"/>
    </row>
    <row r="87" spans="1:68" ht="16" x14ac:dyDescent="0.2">
      <c r="B87" s="4"/>
      <c r="C87" s="4"/>
    </row>
    <row r="88" spans="1:68" ht="16" x14ac:dyDescent="0.2">
      <c r="B88" s="5"/>
      <c r="C88" s="4"/>
    </row>
    <row r="89" spans="1:68" ht="16" x14ac:dyDescent="0.2">
      <c r="B89" s="4"/>
      <c r="C89" s="4"/>
    </row>
    <row r="95" spans="1:68" ht="16" x14ac:dyDescent="0.2">
      <c r="B95" s="4"/>
      <c r="C95" s="4"/>
    </row>
    <row r="96" spans="1:68" ht="16" x14ac:dyDescent="0.2">
      <c r="B96" s="5"/>
      <c r="C96" s="4"/>
    </row>
    <row r="97" spans="2:3" ht="16" x14ac:dyDescent="0.2">
      <c r="B97" s="4"/>
      <c r="C97" s="4"/>
    </row>
    <row r="98" spans="2:3" x14ac:dyDescent="0.2">
      <c r="B98" s="5"/>
      <c r="C98" s="8"/>
    </row>
    <row r="99" spans="2:3" x14ac:dyDescent="0.2">
      <c r="B99" s="5"/>
      <c r="C99" s="8"/>
    </row>
    <row r="100" spans="2:3" x14ac:dyDescent="0.2">
      <c r="B100" s="5"/>
      <c r="C100" s="8"/>
    </row>
    <row r="101" spans="2:3" x14ac:dyDescent="0.2">
      <c r="B101" s="5"/>
      <c r="C101" s="8"/>
    </row>
    <row r="102" spans="2:3" x14ac:dyDescent="0.2">
      <c r="B102" s="5"/>
      <c r="C102" s="8"/>
    </row>
    <row r="103" spans="2:3" x14ac:dyDescent="0.2">
      <c r="B103" s="5"/>
      <c r="C103" s="8"/>
    </row>
    <row r="106" spans="2:3" x14ac:dyDescent="0.2">
      <c r="B106" s="5"/>
      <c r="C106" s="8"/>
    </row>
    <row r="107" spans="2:3" x14ac:dyDescent="0.2">
      <c r="B107" s="5"/>
      <c r="C107" s="8"/>
    </row>
    <row r="108" spans="2:3" x14ac:dyDescent="0.2">
      <c r="B108" s="5"/>
      <c r="C108" s="8"/>
    </row>
    <row r="109" spans="2:3" x14ac:dyDescent="0.2">
      <c r="B109" s="5"/>
      <c r="C109" s="8"/>
    </row>
    <row r="110" spans="2:3" x14ac:dyDescent="0.2">
      <c r="B110" s="5"/>
      <c r="C110" s="8"/>
    </row>
    <row r="111" spans="2:3" x14ac:dyDescent="0.2">
      <c r="B111" s="5"/>
      <c r="C111" s="8"/>
    </row>
    <row r="115" spans="2:3" ht="16" x14ac:dyDescent="0.2">
      <c r="B115" s="4"/>
      <c r="C115" s="4"/>
    </row>
    <row r="116" spans="2:3" ht="16" x14ac:dyDescent="0.2">
      <c r="B116" s="5"/>
      <c r="C116" s="4"/>
    </row>
    <row r="117" spans="2:3" ht="16" x14ac:dyDescent="0.2">
      <c r="B117" s="4"/>
      <c r="C117" s="4"/>
    </row>
    <row r="118" spans="2:3" ht="16" x14ac:dyDescent="0.2">
      <c r="B118" s="5"/>
      <c r="C118" s="4"/>
    </row>
    <row r="119" spans="2:3" ht="16" x14ac:dyDescent="0.2">
      <c r="B119" s="4"/>
      <c r="C119" s="4"/>
    </row>
    <row r="143" spans="2:3" ht="16" x14ac:dyDescent="0.2">
      <c r="B143" s="4"/>
      <c r="C143" s="4"/>
    </row>
    <row r="144" spans="2:3" x14ac:dyDescent="0.2">
      <c r="B144" s="5"/>
      <c r="C144" s="5"/>
    </row>
    <row r="145" spans="2:3" x14ac:dyDescent="0.2">
      <c r="B145" s="5"/>
      <c r="C145" s="5"/>
    </row>
    <row r="146" spans="2:3" x14ac:dyDescent="0.2">
      <c r="B146" s="5"/>
      <c r="C146" s="5"/>
    </row>
    <row r="147" spans="2:3" x14ac:dyDescent="0.2">
      <c r="B147" s="5"/>
      <c r="C147" s="5"/>
    </row>
    <row r="148" spans="2:3" x14ac:dyDescent="0.2">
      <c r="B148" s="5"/>
      <c r="C148" s="5"/>
    </row>
    <row r="149" spans="2:3" x14ac:dyDescent="0.2">
      <c r="B149" s="5"/>
      <c r="C149" s="5"/>
    </row>
    <row r="150" spans="2:3" x14ac:dyDescent="0.2">
      <c r="B150" s="5"/>
      <c r="C150" s="5"/>
    </row>
    <row r="151" spans="2:3" x14ac:dyDescent="0.2">
      <c r="B151" s="5"/>
      <c r="C151" s="5"/>
    </row>
    <row r="152" spans="2:3" x14ac:dyDescent="0.2">
      <c r="B152" s="5"/>
      <c r="C152" s="5"/>
    </row>
    <row r="153" spans="2:3" x14ac:dyDescent="0.2">
      <c r="B153" s="5"/>
      <c r="C153" s="5"/>
    </row>
    <row r="154" spans="2:3" x14ac:dyDescent="0.2">
      <c r="B154" s="5"/>
      <c r="C154" s="5"/>
    </row>
    <row r="155" spans="2:3" x14ac:dyDescent="0.2">
      <c r="B155" s="5"/>
      <c r="C155" s="5"/>
    </row>
    <row r="156" spans="2:3" x14ac:dyDescent="0.2">
      <c r="B156" s="5"/>
      <c r="C156" s="5"/>
    </row>
    <row r="157" spans="2:3" x14ac:dyDescent="0.2">
      <c r="B157" s="5"/>
      <c r="C157" s="5"/>
    </row>
    <row r="158" spans="2:3" x14ac:dyDescent="0.2">
      <c r="B158" s="5"/>
      <c r="C158" s="5"/>
    </row>
    <row r="159" spans="2:3" x14ac:dyDescent="0.2">
      <c r="B159" s="5"/>
      <c r="C159" s="5"/>
    </row>
    <row r="160" spans="2:3" x14ac:dyDescent="0.2">
      <c r="B160" s="5"/>
      <c r="C160" s="5"/>
    </row>
  </sheetData>
  <mergeCells count="5">
    <mergeCell ref="AK2:AL2"/>
    <mergeCell ref="AM2:AO2"/>
    <mergeCell ref="AP2:AR2"/>
    <mergeCell ref="AS2:AU2"/>
    <mergeCell ref="BF1:BH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A5"/>
  <sheetViews>
    <sheetView workbookViewId="0">
      <selection activeCell="A6" sqref="A6:XFD10"/>
    </sheetView>
  </sheetViews>
  <sheetFormatPr baseColWidth="10" defaultColWidth="8.83203125" defaultRowHeight="15" x14ac:dyDescent="0.2"/>
  <cols>
    <col min="1" max="1" width="27.83203125" customWidth="1"/>
    <col min="2" max="2" width="7.83203125" customWidth="1"/>
    <col min="3" max="3" width="8.5" customWidth="1"/>
    <col min="4" max="4" width="14.83203125" customWidth="1"/>
    <col min="5" max="5" width="19.33203125" bestFit="1" customWidth="1"/>
    <col min="6" max="6" width="19.6640625" bestFit="1" customWidth="1"/>
    <col min="7" max="8" width="11" bestFit="1" customWidth="1"/>
    <col min="9" max="11" width="10.83203125" bestFit="1" customWidth="1"/>
    <col min="12" max="12" width="12.6640625" bestFit="1" customWidth="1"/>
    <col min="13" max="14" width="13.5" bestFit="1" customWidth="1"/>
    <col min="15" max="15" width="12.1640625" bestFit="1" customWidth="1"/>
    <col min="16" max="16" width="11.83203125" bestFit="1" customWidth="1"/>
    <col min="17" max="17" width="10.83203125" bestFit="1" customWidth="1"/>
    <col min="18" max="18" width="18.1640625" bestFit="1" customWidth="1"/>
    <col min="19" max="19" width="17.5" bestFit="1" customWidth="1"/>
    <col min="20" max="20" width="13.33203125" bestFit="1" customWidth="1"/>
    <col min="21" max="21" width="13.1640625" bestFit="1" customWidth="1"/>
    <col min="22" max="22" width="9.83203125" bestFit="1" customWidth="1"/>
    <col min="23" max="24" width="9" customWidth="1"/>
    <col min="25" max="25" width="10.1640625" bestFit="1" customWidth="1"/>
    <col min="26" max="26" width="10" customWidth="1"/>
    <col min="27" max="27" width="10.1640625" bestFit="1" customWidth="1"/>
  </cols>
  <sheetData>
    <row r="2" spans="1:27" x14ac:dyDescent="0.2">
      <c r="A2" s="2" t="s">
        <v>75</v>
      </c>
    </row>
    <row r="5" spans="1:27" x14ac:dyDescent="0.2">
      <c r="A5" t="s">
        <v>0</v>
      </c>
      <c r="B5" s="1" t="s">
        <v>51</v>
      </c>
      <c r="C5" t="s">
        <v>84</v>
      </c>
      <c r="D5" t="s">
        <v>85</v>
      </c>
      <c r="E5" t="s">
        <v>86</v>
      </c>
      <c r="F5" t="s">
        <v>87</v>
      </c>
      <c r="G5" t="s">
        <v>88</v>
      </c>
      <c r="H5" t="s">
        <v>89</v>
      </c>
      <c r="I5" t="s">
        <v>90</v>
      </c>
      <c r="J5" t="s">
        <v>91</v>
      </c>
      <c r="K5" t="s">
        <v>92</v>
      </c>
      <c r="L5" t="s">
        <v>93</v>
      </c>
      <c r="M5" t="s">
        <v>94</v>
      </c>
      <c r="N5" t="s">
        <v>95</v>
      </c>
      <c r="O5" t="s">
        <v>96</v>
      </c>
      <c r="P5" t="s">
        <v>97</v>
      </c>
      <c r="Q5" t="s">
        <v>98</v>
      </c>
      <c r="R5" t="s">
        <v>99</v>
      </c>
      <c r="S5" t="s">
        <v>100</v>
      </c>
      <c r="T5" t="s">
        <v>101</v>
      </c>
      <c r="U5" t="s">
        <v>102</v>
      </c>
      <c r="V5" t="s">
        <v>103</v>
      </c>
      <c r="W5" t="s">
        <v>104</v>
      </c>
      <c r="X5" t="s">
        <v>105</v>
      </c>
      <c r="Y5" t="s">
        <v>106</v>
      </c>
      <c r="Z5" t="s">
        <v>107</v>
      </c>
      <c r="AA5" t="s">
        <v>108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4988FD-394D-4207-9D3E-43FB10988A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Subchond Trabec</vt:lpstr>
      <vt:lpstr>Subchond Plate</vt:lpstr>
      <vt:lpstr>BV-ArticularSurface-GrowthPlate</vt:lpstr>
      <vt:lpstr>MOI</vt:lpstr>
      <vt:lpstr>'BV-ArticularSurface-GrowthPlate'!_C0012831_3DRESULTS_BONE_MORPHO</vt:lpstr>
      <vt:lpstr>MOI!_C0015481_MOIRESULTS_MIDSHAFT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J. Thullen</dc:creator>
  <cp:lastModifiedBy>Zhenqiang Yao</cp:lastModifiedBy>
  <dcterms:created xsi:type="dcterms:W3CDTF">2018-10-21T16:14:39Z</dcterms:created>
  <dcterms:modified xsi:type="dcterms:W3CDTF">2026-01-12T00:58:25Z</dcterms:modified>
</cp:coreProperties>
</file>