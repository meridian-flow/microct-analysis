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ZYao/Documents/Manuscript/OA uCT quantufication/uCT OA paper revision/uCT dataset/"/>
    </mc:Choice>
  </mc:AlternateContent>
  <xr:revisionPtr revIDLastSave="0" documentId="8_{C6DFF405-6FEC-FE48-AF02-40C0222909A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OA-6" sheetId="1" r:id="rId1"/>
    <sheet name="OA-7" sheetId="2" r:id="rId2"/>
    <sheet name="OA-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9" i="3" l="1"/>
  <c r="B118" i="3"/>
  <c r="B117" i="3"/>
  <c r="B114" i="3"/>
  <c r="B113" i="3"/>
  <c r="B112" i="3"/>
  <c r="B109" i="3"/>
  <c r="B108" i="3"/>
  <c r="B107" i="3"/>
  <c r="B104" i="3"/>
  <c r="B103" i="3"/>
  <c r="B102" i="3"/>
  <c r="B99" i="3"/>
  <c r="B98" i="3"/>
  <c r="B97" i="3"/>
  <c r="B94" i="3"/>
  <c r="B93" i="3"/>
  <c r="B92" i="3"/>
  <c r="B89" i="3"/>
  <c r="B88" i="3"/>
  <c r="B87" i="3"/>
  <c r="B84" i="3"/>
  <c r="B83" i="3"/>
  <c r="B82" i="3"/>
  <c r="B79" i="3"/>
  <c r="B78" i="3"/>
  <c r="B77" i="3"/>
  <c r="B74" i="3"/>
  <c r="B73" i="3"/>
  <c r="B72" i="3"/>
  <c r="B69" i="3"/>
  <c r="B68" i="3"/>
  <c r="B67" i="3"/>
  <c r="B64" i="3"/>
  <c r="B63" i="3"/>
  <c r="B62" i="3"/>
  <c r="B59" i="3"/>
  <c r="B58" i="3"/>
  <c r="B57" i="3"/>
  <c r="B54" i="3"/>
  <c r="B53" i="3"/>
  <c r="B52" i="3"/>
  <c r="B49" i="3"/>
  <c r="B48" i="3"/>
  <c r="B47" i="3"/>
  <c r="B44" i="3"/>
  <c r="B43" i="3"/>
  <c r="B42" i="3"/>
  <c r="B39" i="3"/>
  <c r="B38" i="3"/>
  <c r="B37" i="3"/>
  <c r="B34" i="3"/>
  <c r="B33" i="3"/>
  <c r="B32" i="3"/>
  <c r="B29" i="3"/>
  <c r="B28" i="3"/>
  <c r="B27" i="3"/>
  <c r="B24" i="3"/>
  <c r="B23" i="3"/>
  <c r="B22" i="3"/>
  <c r="B19" i="3"/>
  <c r="B18" i="3"/>
  <c r="B17" i="3"/>
  <c r="B14" i="3"/>
  <c r="B13" i="3"/>
  <c r="B12" i="3"/>
  <c r="B9" i="3"/>
  <c r="B8" i="3"/>
  <c r="B7" i="3"/>
  <c r="B4" i="3"/>
  <c r="B3" i="3"/>
  <c r="B2" i="3"/>
  <c r="B79" i="2"/>
  <c r="B78" i="2"/>
  <c r="B77" i="2"/>
  <c r="B74" i="2"/>
  <c r="B73" i="2"/>
  <c r="B72" i="2"/>
  <c r="B69" i="2"/>
  <c r="B68" i="2"/>
  <c r="B67" i="2"/>
  <c r="B64" i="2"/>
  <c r="B63" i="2"/>
  <c r="B62" i="2"/>
  <c r="B59" i="2"/>
  <c r="B58" i="2"/>
  <c r="B57" i="2"/>
  <c r="B54" i="2"/>
  <c r="B53" i="2"/>
  <c r="B52" i="2"/>
  <c r="B49" i="2"/>
  <c r="B48" i="2"/>
  <c r="B47" i="2"/>
  <c r="B44" i="2"/>
  <c r="B43" i="2"/>
  <c r="B42" i="2"/>
  <c r="B39" i="2"/>
  <c r="B38" i="2"/>
  <c r="B37" i="2"/>
  <c r="B34" i="2"/>
  <c r="B33" i="2"/>
  <c r="B32" i="2"/>
  <c r="B29" i="2"/>
  <c r="B28" i="2"/>
  <c r="B27" i="2"/>
  <c r="B24" i="2"/>
  <c r="B23" i="2"/>
  <c r="B22" i="2"/>
  <c r="B19" i="2"/>
  <c r="B18" i="2"/>
  <c r="B17" i="2"/>
  <c r="B14" i="2"/>
  <c r="B13" i="2"/>
  <c r="B12" i="2"/>
  <c r="B9" i="2"/>
  <c r="B8" i="2"/>
  <c r="B7" i="2"/>
  <c r="B4" i="2"/>
  <c r="B3" i="2"/>
  <c r="B2" i="2"/>
  <c r="B89" i="1"/>
  <c r="B88" i="1"/>
  <c r="B87" i="1"/>
  <c r="B84" i="1"/>
  <c r="B83" i="1"/>
  <c r="B82" i="1"/>
  <c r="B79" i="1"/>
  <c r="B78" i="1"/>
  <c r="B77" i="1"/>
  <c r="B74" i="1"/>
  <c r="B73" i="1"/>
  <c r="B72" i="1"/>
  <c r="B69" i="1"/>
  <c r="B68" i="1"/>
  <c r="B67" i="1"/>
  <c r="B64" i="1"/>
  <c r="B63" i="1"/>
  <c r="B62" i="1"/>
  <c r="B59" i="1"/>
  <c r="B58" i="1"/>
  <c r="B57" i="1"/>
  <c r="B54" i="1"/>
  <c r="B53" i="1"/>
  <c r="B52" i="1"/>
  <c r="B49" i="1"/>
  <c r="B48" i="1"/>
  <c r="B47" i="1"/>
  <c r="B44" i="1"/>
  <c r="B43" i="1"/>
  <c r="B42" i="1"/>
  <c r="B39" i="1"/>
  <c r="B38" i="1"/>
  <c r="B37" i="1"/>
  <c r="B33" i="1"/>
  <c r="B34" i="1"/>
  <c r="B32" i="1"/>
  <c r="B29" i="1"/>
  <c r="B28" i="1"/>
  <c r="B27" i="1"/>
  <c r="B24" i="1"/>
  <c r="B23" i="1"/>
  <c r="B22" i="1"/>
  <c r="B19" i="1"/>
  <c r="B18" i="1"/>
  <c r="B17" i="1"/>
  <c r="B14" i="1"/>
  <c r="B13" i="1"/>
  <c r="B12" i="1"/>
  <c r="B9" i="1"/>
  <c r="B8" i="1"/>
  <c r="B7" i="1"/>
  <c r="B4" i="1"/>
  <c r="B3" i="1"/>
  <c r="B2" i="1"/>
</calcChain>
</file>

<file path=xl/sharedStrings.xml><?xml version="1.0" encoding="utf-8"?>
<sst xmlns="http://schemas.openxmlformats.org/spreadsheetml/2006/main" count="232" uniqueCount="61">
  <si>
    <t>OA6-1R</t>
  </si>
  <si>
    <t>x</t>
  </si>
  <si>
    <t>y</t>
  </si>
  <si>
    <t>z</t>
  </si>
  <si>
    <t>OA6-2R</t>
  </si>
  <si>
    <t>OA6-3R</t>
  </si>
  <si>
    <t>OA6-4R</t>
  </si>
  <si>
    <t>OA6-5R</t>
  </si>
  <si>
    <t>OA6-6R</t>
  </si>
  <si>
    <t>OA6-7R</t>
  </si>
  <si>
    <t>OA6-8R</t>
  </si>
  <si>
    <t>OA6-9R</t>
  </si>
  <si>
    <t>OA6-10R</t>
  </si>
  <si>
    <t>OA6-11R</t>
  </si>
  <si>
    <t>OA6-12R</t>
  </si>
  <si>
    <t>OA6-13L</t>
  </si>
  <si>
    <t>OA6-14L</t>
  </si>
  <si>
    <t>OA6-15L</t>
  </si>
  <si>
    <t>OA6-16L</t>
  </si>
  <si>
    <t>OA6-17L</t>
  </si>
  <si>
    <t>OA6-18L</t>
  </si>
  <si>
    <t>OA7-1R</t>
  </si>
  <si>
    <t>OA7-2R</t>
  </si>
  <si>
    <t>OA7-3R</t>
  </si>
  <si>
    <t>OA7-4R</t>
  </si>
  <si>
    <t>OA7-5R</t>
  </si>
  <si>
    <t>OA7-6R</t>
  </si>
  <si>
    <t>OA7-7R</t>
  </si>
  <si>
    <t>OA7-8R</t>
  </si>
  <si>
    <t>OA7-1L</t>
  </si>
  <si>
    <t>OA7-2L</t>
  </si>
  <si>
    <t>OA7-3L</t>
  </si>
  <si>
    <t>OA7-4L</t>
  </si>
  <si>
    <t>OA7-5L</t>
  </si>
  <si>
    <t>OA7-6L</t>
  </si>
  <si>
    <t>OA7-7L</t>
  </si>
  <si>
    <t>OA7-8L</t>
  </si>
  <si>
    <t>OA8-1R</t>
  </si>
  <si>
    <t>OA8-2R</t>
  </si>
  <si>
    <t>OA8-3R</t>
  </si>
  <si>
    <t>OA8-4R</t>
  </si>
  <si>
    <t>OA8-5R</t>
  </si>
  <si>
    <t>OA8-6R</t>
  </si>
  <si>
    <t>OA8-7R</t>
  </si>
  <si>
    <t>OA8-8R</t>
  </si>
  <si>
    <t>OA8-9R</t>
  </si>
  <si>
    <t>OA8-10R</t>
  </si>
  <si>
    <t>OA8-11R</t>
  </si>
  <si>
    <t>OA8-12R</t>
  </si>
  <si>
    <t>OA8-13L</t>
  </si>
  <si>
    <t>OA8-14L</t>
  </si>
  <si>
    <t>OA8-15L</t>
  </si>
  <si>
    <t>OA8-16L</t>
  </si>
  <si>
    <t>OA8-17L</t>
  </si>
  <si>
    <t>OA8-18L</t>
  </si>
  <si>
    <t>OA8-19L</t>
  </si>
  <si>
    <t>OA8-20L</t>
  </si>
  <si>
    <t>OA8-21L</t>
  </si>
  <si>
    <t>OA8-22L</t>
  </si>
  <si>
    <t>OA8-23L</t>
  </si>
  <si>
    <t>OA8-24L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</si>
</sst>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sqref="A1:B4"/>
    </sheetView>
  </sheetViews>
  <sheetFormatPr baseColWidth="10" defaultColWidth="8.83203125" defaultRowHeight="15" x14ac:dyDescent="0.2"/>
  <cols>
    <col min="2" max="2" width="17.5" customWidth="1"/>
  </cols>
  <sheetData>
    <row r="1" spans="1:2" x14ac:dyDescent="0.2">
      <c r="A1" t="s">
        <v>0</v>
      </c>
    </row>
    <row r="2" spans="1:2" x14ac:dyDescent="0.2">
      <c r="A2" t="s">
        <v>1</v>
      </c>
      <c r="B2">
        <f>-1*(0.2415+5.6595)/2</f>
        <v>-2.9505000000000003</v>
      </c>
    </row>
    <row r="3" spans="1:2" x14ac:dyDescent="0.2">
      <c r="A3" t="s">
        <v>2</v>
      </c>
      <c r="B3">
        <f>-1*(5.187+10.6365)/2</f>
        <v>-7.9117499999999996</v>
      </c>
    </row>
    <row r="4" spans="1:2" x14ac:dyDescent="0.2">
      <c r="A4" t="s">
        <v>3</v>
      </c>
      <c r="B4">
        <f>-1*(126.72+135.919)/2</f>
        <v>-131.31950000000001</v>
      </c>
    </row>
    <row r="6" spans="1:2" x14ac:dyDescent="0.2">
      <c r="A6" t="s">
        <v>4</v>
      </c>
    </row>
    <row r="7" spans="1:2" x14ac:dyDescent="0.2">
      <c r="A7" t="s">
        <v>1</v>
      </c>
      <c r="B7">
        <f>-1*(3.633+8.8725)/2</f>
        <v>-6.2527500000000007</v>
      </c>
    </row>
    <row r="8" spans="1:2" x14ac:dyDescent="0.2">
      <c r="A8" t="s">
        <v>2</v>
      </c>
      <c r="B8">
        <f>-1*(2.2155+8.253)/2</f>
        <v>-5.2342500000000003</v>
      </c>
    </row>
    <row r="9" spans="1:2" x14ac:dyDescent="0.2">
      <c r="A9" t="s">
        <v>3</v>
      </c>
      <c r="B9">
        <f>-1*(125.671+135.12)/2</f>
        <v>-130.3955</v>
      </c>
    </row>
    <row r="11" spans="1:2" x14ac:dyDescent="0.2">
      <c r="A11" t="s">
        <v>5</v>
      </c>
    </row>
    <row r="12" spans="1:2" x14ac:dyDescent="0.2">
      <c r="A12" t="s">
        <v>1</v>
      </c>
      <c r="B12">
        <f>-1*(9.303+14.616)/2</f>
        <v>-11.9595</v>
      </c>
    </row>
    <row r="13" spans="1:2" x14ac:dyDescent="0.2">
      <c r="A13" t="s">
        <v>2</v>
      </c>
      <c r="B13">
        <f>-1*(1.638+7.245)/2</f>
        <v>-4.4414999999999996</v>
      </c>
    </row>
    <row r="14" spans="1:2" x14ac:dyDescent="0.2">
      <c r="A14" t="s">
        <v>3</v>
      </c>
      <c r="B14">
        <f>-1*(127.141+135.919)/2</f>
        <v>-131.53</v>
      </c>
    </row>
    <row r="16" spans="1:2" x14ac:dyDescent="0.2">
      <c r="A16" t="s">
        <v>6</v>
      </c>
    </row>
    <row r="17" spans="1:2" x14ac:dyDescent="0.2">
      <c r="A17" t="s">
        <v>1</v>
      </c>
      <c r="B17">
        <f>-1*(12.558+18.165)/2</f>
        <v>-15.361499999999999</v>
      </c>
    </row>
    <row r="18" spans="1:2" x14ac:dyDescent="0.2">
      <c r="A18" t="s">
        <v>2</v>
      </c>
      <c r="B18">
        <f>-1*(5.2605+10.08)/2</f>
        <v>-7.6702500000000002</v>
      </c>
    </row>
    <row r="19" spans="1:2" x14ac:dyDescent="0.2">
      <c r="A19" t="s">
        <v>3</v>
      </c>
      <c r="B19">
        <f>-1*(127.141+135.919)/2</f>
        <v>-131.53</v>
      </c>
    </row>
    <row r="21" spans="1:2" x14ac:dyDescent="0.2">
      <c r="A21" t="s">
        <v>7</v>
      </c>
    </row>
    <row r="22" spans="1:2" x14ac:dyDescent="0.2">
      <c r="A22" t="s">
        <v>1</v>
      </c>
      <c r="B22">
        <f>-1*(10.7625+18.354)/2</f>
        <v>-14.558249999999999</v>
      </c>
    </row>
    <row r="23" spans="1:2" x14ac:dyDescent="0.2">
      <c r="A23" t="s">
        <v>2</v>
      </c>
      <c r="B23">
        <f>-1*(10.584+16.17)/2</f>
        <v>-13.377000000000001</v>
      </c>
    </row>
    <row r="24" spans="1:2" x14ac:dyDescent="0.2">
      <c r="A24" t="s">
        <v>3</v>
      </c>
      <c r="B24">
        <f>-1*(124.106+135.016)/2</f>
        <v>-129.56099999999998</v>
      </c>
    </row>
    <row r="26" spans="1:2" x14ac:dyDescent="0.2">
      <c r="A26" t="s">
        <v>8</v>
      </c>
    </row>
    <row r="27" spans="1:2" x14ac:dyDescent="0.2">
      <c r="A27" t="s">
        <v>1</v>
      </c>
      <c r="B27">
        <f>-1*(9.66+15.099)/2</f>
        <v>-12.3795</v>
      </c>
    </row>
    <row r="28" spans="1:2" x14ac:dyDescent="0.2">
      <c r="A28" t="s">
        <v>2</v>
      </c>
      <c r="B28">
        <f>-1*(13.5345+19.74)/2</f>
        <v>-16.637249999999998</v>
      </c>
    </row>
    <row r="29" spans="1:2" x14ac:dyDescent="0.2">
      <c r="A29" t="s">
        <v>3</v>
      </c>
      <c r="B29">
        <f>-1*(124.106+133.965)/2</f>
        <v>-129.03550000000001</v>
      </c>
    </row>
    <row r="31" spans="1:2" x14ac:dyDescent="0.2">
      <c r="A31" t="s">
        <v>9</v>
      </c>
    </row>
    <row r="32" spans="1:2" x14ac:dyDescent="0.2">
      <c r="A32" t="s">
        <v>1</v>
      </c>
      <c r="B32">
        <f>-1*(-2.7145+2.71425)/2</f>
        <v>1.2500000000015277E-4</v>
      </c>
    </row>
    <row r="33" spans="1:2" x14ac:dyDescent="0.2">
      <c r="A33" t="s">
        <v>2</v>
      </c>
      <c r="B33">
        <f>-1*(-3.2183+3.2182)/2</f>
        <v>5.0000000000105516E-5</v>
      </c>
    </row>
    <row r="34" spans="1:2" x14ac:dyDescent="0.2">
      <c r="A34" t="s">
        <v>3</v>
      </c>
      <c r="B34">
        <f>-1*(-4.8095+4.8085)/2</f>
        <v>4.9999999999972289E-4</v>
      </c>
    </row>
    <row r="36" spans="1:2" x14ac:dyDescent="0.2">
      <c r="A36" t="s">
        <v>10</v>
      </c>
    </row>
    <row r="37" spans="1:2" x14ac:dyDescent="0.2">
      <c r="A37" t="s">
        <v>1</v>
      </c>
      <c r="B37">
        <f>-1*(0.462+6.741)/2</f>
        <v>-3.6014999999999997</v>
      </c>
    </row>
    <row r="38" spans="1:2" x14ac:dyDescent="0.2">
      <c r="A38" t="s">
        <v>2</v>
      </c>
      <c r="B38">
        <f>-1*(11.067+16.1805)/2</f>
        <v>-13.623749999999999</v>
      </c>
    </row>
    <row r="39" spans="1:2" x14ac:dyDescent="0.2">
      <c r="A39" t="s">
        <v>3</v>
      </c>
      <c r="B39">
        <f>-1*(124.106+132.495)/2</f>
        <v>-128.3005</v>
      </c>
    </row>
    <row r="41" spans="1:2" x14ac:dyDescent="0.2">
      <c r="A41" t="s">
        <v>11</v>
      </c>
    </row>
    <row r="42" spans="1:2" x14ac:dyDescent="0.2">
      <c r="A42" t="s">
        <v>1</v>
      </c>
      <c r="B42">
        <f>-1*(1.0395+6.5625)/2</f>
        <v>-3.8010000000000002</v>
      </c>
    </row>
    <row r="43" spans="1:2" x14ac:dyDescent="0.2">
      <c r="A43" t="s">
        <v>2</v>
      </c>
      <c r="B43">
        <f>-1*(5.376+10.5945)/2</f>
        <v>-7.9852500000000006</v>
      </c>
    </row>
    <row r="44" spans="1:2" x14ac:dyDescent="0.2">
      <c r="A44" t="s">
        <v>3</v>
      </c>
      <c r="B44">
        <f>-1*(126.282+135.689)/2</f>
        <v>-130.9855</v>
      </c>
    </row>
    <row r="46" spans="1:2" x14ac:dyDescent="0.2">
      <c r="A46" t="s">
        <v>12</v>
      </c>
    </row>
    <row r="47" spans="1:2" x14ac:dyDescent="0.2">
      <c r="A47" t="s">
        <v>1</v>
      </c>
      <c r="B47">
        <f>-1*(4.2945+9.2505)/2</f>
        <v>-6.7725000000000009</v>
      </c>
    </row>
    <row r="48" spans="1:2" x14ac:dyDescent="0.2">
      <c r="A48" t="s">
        <v>2</v>
      </c>
      <c r="B48">
        <f>-1*(1.8585+7.4865)/2</f>
        <v>-4.6725000000000003</v>
      </c>
    </row>
    <row r="49" spans="1:2" x14ac:dyDescent="0.2">
      <c r="A49" t="s">
        <v>3</v>
      </c>
      <c r="B49">
        <f>-1*(123.877+132.372)/2</f>
        <v>-128.12450000000001</v>
      </c>
    </row>
    <row r="51" spans="1:2" x14ac:dyDescent="0.2">
      <c r="A51" t="s">
        <v>13</v>
      </c>
    </row>
    <row r="52" spans="1:2" x14ac:dyDescent="0.2">
      <c r="A52" t="s">
        <v>1</v>
      </c>
      <c r="B52">
        <f>-1*(10.017+15.414)/2</f>
        <v>-12.715499999999999</v>
      </c>
    </row>
    <row r="53" spans="1:2" x14ac:dyDescent="0.2">
      <c r="A53" t="s">
        <v>2</v>
      </c>
      <c r="B53">
        <f>-1*(1.8375+7.287)/2</f>
        <v>-4.5622499999999997</v>
      </c>
    </row>
    <row r="54" spans="1:2" x14ac:dyDescent="0.2">
      <c r="A54" t="s">
        <v>3</v>
      </c>
      <c r="B54">
        <f>-1*(125.651+133.632)/2</f>
        <v>-129.64150000000001</v>
      </c>
    </row>
    <row r="56" spans="1:2" x14ac:dyDescent="0.2">
      <c r="A56" t="s">
        <v>14</v>
      </c>
    </row>
    <row r="57" spans="1:2" x14ac:dyDescent="0.2">
      <c r="A57" t="s">
        <v>1</v>
      </c>
      <c r="B57">
        <f>-1*(12.8835+18.9735)/2</f>
        <v>-15.9285</v>
      </c>
    </row>
    <row r="58" spans="1:2" x14ac:dyDescent="0.2">
      <c r="A58" t="s">
        <v>2</v>
      </c>
      <c r="B58">
        <f>-1*(5.292+10.374)/2</f>
        <v>-7.8330000000000002</v>
      </c>
    </row>
    <row r="59" spans="1:2" x14ac:dyDescent="0.2">
      <c r="A59" t="s">
        <v>3</v>
      </c>
      <c r="B59">
        <f>-1*(124.602+131.637)/2</f>
        <v>-128.11950000000002</v>
      </c>
    </row>
    <row r="61" spans="1:2" x14ac:dyDescent="0.2">
      <c r="A61" t="s">
        <v>15</v>
      </c>
    </row>
    <row r="62" spans="1:2" x14ac:dyDescent="0.2">
      <c r="A62" t="s">
        <v>1</v>
      </c>
      <c r="B62">
        <f>-1*(11.4765+17.6925)/2</f>
        <v>-14.584499999999998</v>
      </c>
    </row>
    <row r="63" spans="1:2" x14ac:dyDescent="0.2">
      <c r="A63" t="s">
        <v>2</v>
      </c>
      <c r="B63">
        <f>-1*(10.8045+15.351)/2</f>
        <v>-13.077750000000002</v>
      </c>
    </row>
    <row r="64" spans="1:2" x14ac:dyDescent="0.2">
      <c r="A64" t="s">
        <v>3</v>
      </c>
      <c r="B64">
        <f>-1*(124.812+133.842)/2</f>
        <v>-129.327</v>
      </c>
    </row>
    <row r="66" spans="1:2" x14ac:dyDescent="0.2">
      <c r="A66" t="s">
        <v>16</v>
      </c>
    </row>
    <row r="67" spans="1:2" x14ac:dyDescent="0.2">
      <c r="A67" t="s">
        <v>1</v>
      </c>
      <c r="B67">
        <f>-1*(10.878+16.317)/2</f>
        <v>-13.5975</v>
      </c>
    </row>
    <row r="68" spans="1:2" x14ac:dyDescent="0.2">
      <c r="A68" t="s">
        <v>2</v>
      </c>
      <c r="B68">
        <f>-1*(13.251+18.4695)/2</f>
        <v>-15.860250000000001</v>
      </c>
    </row>
    <row r="69" spans="1:2" x14ac:dyDescent="0.2">
      <c r="A69" t="s">
        <v>3</v>
      </c>
      <c r="B69">
        <f>-1*(125.127+135.521)/2</f>
        <v>-130.32399999999998</v>
      </c>
    </row>
    <row r="71" spans="1:2" x14ac:dyDescent="0.2">
      <c r="A71" t="s">
        <v>17</v>
      </c>
    </row>
    <row r="72" spans="1:2" x14ac:dyDescent="0.2">
      <c r="A72" t="s">
        <v>1</v>
      </c>
      <c r="B72">
        <f>-1*(5.1975+9.66)/2</f>
        <v>-7.42875</v>
      </c>
    </row>
    <row r="73" spans="1:2" x14ac:dyDescent="0.2">
      <c r="A73" t="s">
        <v>2</v>
      </c>
      <c r="B73">
        <f>-1*(13.3035+19.2885)/2</f>
        <v>-16.295999999999999</v>
      </c>
    </row>
    <row r="74" spans="1:2" x14ac:dyDescent="0.2">
      <c r="A74" t="s">
        <v>3</v>
      </c>
      <c r="B74">
        <f>-1*(126.596+135.689)/2</f>
        <v>-131.14249999999998</v>
      </c>
    </row>
    <row r="76" spans="1:2" x14ac:dyDescent="0.2">
      <c r="A76" t="s">
        <v>18</v>
      </c>
    </row>
    <row r="77" spans="1:2" x14ac:dyDescent="0.2">
      <c r="A77" t="s">
        <v>1</v>
      </c>
      <c r="B77">
        <f>-1*(1.3965+6.8985)/2</f>
        <v>-4.1475</v>
      </c>
    </row>
    <row r="78" spans="1:2" x14ac:dyDescent="0.2">
      <c r="A78" t="s">
        <v>2</v>
      </c>
      <c r="B78">
        <f>-1*(11.655+16.4115)/2</f>
        <v>-14.033249999999999</v>
      </c>
    </row>
    <row r="79" spans="1:2" x14ac:dyDescent="0.2">
      <c r="A79" t="s">
        <v>3</v>
      </c>
      <c r="B79">
        <f>-1*(126.072+135.417)/2</f>
        <v>-130.74450000000002</v>
      </c>
    </row>
    <row r="81" spans="1:2" x14ac:dyDescent="0.2">
      <c r="A81" t="s">
        <v>19</v>
      </c>
    </row>
    <row r="82" spans="1:2" x14ac:dyDescent="0.2">
      <c r="A82" t="s">
        <v>1</v>
      </c>
      <c r="B82">
        <f>-1*(3.57+8.9355)/2</f>
        <v>-6.2527499999999998</v>
      </c>
    </row>
    <row r="83" spans="1:2" x14ac:dyDescent="0.2">
      <c r="A83" t="s">
        <v>2</v>
      </c>
      <c r="B83">
        <f>-1*(4.0215+10.1115)/2</f>
        <v>-7.0664999999999996</v>
      </c>
    </row>
    <row r="84" spans="1:2" x14ac:dyDescent="0.2">
      <c r="A84" t="s">
        <v>3</v>
      </c>
      <c r="B84">
        <f>-1*(126.357+135.387)/2</f>
        <v>-130.87200000000001</v>
      </c>
    </row>
    <row r="86" spans="1:2" x14ac:dyDescent="0.2">
      <c r="A86" t="s">
        <v>20</v>
      </c>
    </row>
    <row r="87" spans="1:2" x14ac:dyDescent="0.2">
      <c r="A87" t="s">
        <v>1</v>
      </c>
      <c r="B87">
        <f>-1*(10.08+16.7895)/2</f>
        <v>-13.434750000000001</v>
      </c>
    </row>
    <row r="88" spans="1:2" x14ac:dyDescent="0.2">
      <c r="A88" t="s">
        <v>2</v>
      </c>
      <c r="B88">
        <f>-1*(2.9295+9.2295)/2</f>
        <v>-6.0794999999999995</v>
      </c>
    </row>
    <row r="89" spans="1:2" x14ac:dyDescent="0.2">
      <c r="A89" t="s">
        <v>3</v>
      </c>
      <c r="B89">
        <f>-1*(124.887+134.232)/2</f>
        <v>-129.55950000000001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>
      <selection sqref="A1:B4"/>
    </sheetView>
  </sheetViews>
  <sheetFormatPr baseColWidth="10" defaultColWidth="8.83203125" defaultRowHeight="15" x14ac:dyDescent="0.2"/>
  <sheetData>
    <row r="1" spans="1:2" x14ac:dyDescent="0.2">
      <c r="A1" t="s">
        <v>21</v>
      </c>
    </row>
    <row r="2" spans="1:2" x14ac:dyDescent="0.2">
      <c r="A2" t="s">
        <v>1</v>
      </c>
      <c r="B2">
        <f>-1*(0.903+6.5415)/2</f>
        <v>-3.7222499999999998</v>
      </c>
    </row>
    <row r="3" spans="1:2" x14ac:dyDescent="0.2">
      <c r="A3" t="s">
        <v>2</v>
      </c>
      <c r="B3">
        <f>-1*(5.6805+10.2585)/2</f>
        <v>-7.9695</v>
      </c>
    </row>
    <row r="4" spans="1:2" x14ac:dyDescent="0.2">
      <c r="A4" t="s">
        <v>3</v>
      </c>
      <c r="B4">
        <f>-1*(122.581+134.393)/2</f>
        <v>-128.48699999999999</v>
      </c>
    </row>
    <row r="6" spans="1:2" x14ac:dyDescent="0.2">
      <c r="A6" t="s">
        <v>22</v>
      </c>
    </row>
    <row r="7" spans="1:2" x14ac:dyDescent="0.2">
      <c r="A7" t="s">
        <v>1</v>
      </c>
      <c r="B7">
        <f>-1*(3.717+9.3135)/2</f>
        <v>-6.51525</v>
      </c>
    </row>
    <row r="8" spans="1:2" x14ac:dyDescent="0.2">
      <c r="A8" t="s">
        <v>2</v>
      </c>
      <c r="B8">
        <f>-1*(2.1735+7.2135)/2</f>
        <v>-4.6935000000000002</v>
      </c>
    </row>
    <row r="9" spans="1:2" x14ac:dyDescent="0.2">
      <c r="A9" t="s">
        <v>3</v>
      </c>
      <c r="B9">
        <f>-1*(123.936+134.393)/2</f>
        <v>-129.1645</v>
      </c>
    </row>
    <row r="11" spans="1:2" x14ac:dyDescent="0.2">
      <c r="A11" t="s">
        <v>23</v>
      </c>
    </row>
    <row r="12" spans="1:2" x14ac:dyDescent="0.2">
      <c r="A12" t="s">
        <v>1</v>
      </c>
      <c r="B12">
        <f>-1*(9.2295+13.9755)/2</f>
        <v>-11.602499999999999</v>
      </c>
    </row>
    <row r="13" spans="1:2" x14ac:dyDescent="0.2">
      <c r="A13" t="s">
        <v>2</v>
      </c>
      <c r="B13">
        <f>-1*(2.25755+8.4945)/2</f>
        <v>-5.3760250000000003</v>
      </c>
    </row>
    <row r="14" spans="1:2" x14ac:dyDescent="0.2">
      <c r="A14" t="s">
        <v>3</v>
      </c>
      <c r="B14">
        <f>-1*(122.675+133.701)/2</f>
        <v>-128.18799999999999</v>
      </c>
    </row>
    <row r="16" spans="1:2" x14ac:dyDescent="0.2">
      <c r="A16" t="s">
        <v>24</v>
      </c>
    </row>
    <row r="17" spans="1:2" x14ac:dyDescent="0.2">
      <c r="A17" t="s">
        <v>1</v>
      </c>
      <c r="B17">
        <f>-1*(11.97+17.2095)/2</f>
        <v>-14.589749999999999</v>
      </c>
    </row>
    <row r="18" spans="1:2" x14ac:dyDescent="0.2">
      <c r="A18" t="s">
        <v>2</v>
      </c>
      <c r="B18">
        <f>-1*(4.683+10.4685)/2</f>
        <v>-7.5757500000000002</v>
      </c>
    </row>
    <row r="19" spans="1:2" x14ac:dyDescent="0.2">
      <c r="A19" t="s">
        <v>3</v>
      </c>
      <c r="B19">
        <f>-1*(122.581+133.701)/2</f>
        <v>-128.14099999999999</v>
      </c>
    </row>
    <row r="21" spans="1:2" x14ac:dyDescent="0.2">
      <c r="A21" t="s">
        <v>25</v>
      </c>
    </row>
    <row r="22" spans="1:2" x14ac:dyDescent="0.2">
      <c r="A22" t="s">
        <v>1</v>
      </c>
      <c r="B22">
        <f>-1*(9.996+18.1545)/2</f>
        <v>-14.07525</v>
      </c>
    </row>
    <row r="23" spans="1:2" x14ac:dyDescent="0.2">
      <c r="A23" t="s">
        <v>2</v>
      </c>
      <c r="B23">
        <f>-1*(10.5315+16.0335)/2</f>
        <v>-13.282499999999999</v>
      </c>
    </row>
    <row r="24" spans="1:2" x14ac:dyDescent="0.2">
      <c r="A24" t="s">
        <v>3</v>
      </c>
      <c r="B24">
        <f>-1*(122.581+132.546)/2</f>
        <v>-127.5635</v>
      </c>
    </row>
    <row r="26" spans="1:2" x14ac:dyDescent="0.2">
      <c r="A26" t="s">
        <v>26</v>
      </c>
    </row>
    <row r="27" spans="1:2" x14ac:dyDescent="0.2">
      <c r="A27" t="s">
        <v>1</v>
      </c>
      <c r="B27">
        <f>-1*(8.694+14.6685)/2</f>
        <v>-11.68125</v>
      </c>
    </row>
    <row r="28" spans="1:2" x14ac:dyDescent="0.2">
      <c r="A28" t="s">
        <v>2</v>
      </c>
      <c r="B28">
        <f>-1*(12.306+19.6035)/2</f>
        <v>-15.954750000000001</v>
      </c>
    </row>
    <row r="29" spans="1:2" x14ac:dyDescent="0.2">
      <c r="A29" t="s">
        <v>3</v>
      </c>
      <c r="B29">
        <f>-1*(122.781+134.12)/2</f>
        <v>-128.45050000000001</v>
      </c>
    </row>
    <row r="31" spans="1:2" x14ac:dyDescent="0.2">
      <c r="A31" t="s">
        <v>27</v>
      </c>
    </row>
    <row r="32" spans="1:2" x14ac:dyDescent="0.2">
      <c r="A32" t="s">
        <v>1</v>
      </c>
      <c r="B32">
        <f>-1*(3.7275+9.1455)/2</f>
        <v>-6.4365000000000006</v>
      </c>
    </row>
    <row r="33" spans="1:2" x14ac:dyDescent="0.2">
      <c r="A33" t="s">
        <v>2</v>
      </c>
      <c r="B33">
        <f>-1*(13.6395+19.3725)/2</f>
        <v>-16.506</v>
      </c>
    </row>
    <row r="34" spans="1:2" x14ac:dyDescent="0.2">
      <c r="A34" t="s">
        <v>3</v>
      </c>
      <c r="B34">
        <f>-1*(124.355+134.393)/2</f>
        <v>-129.374</v>
      </c>
    </row>
    <row r="36" spans="1:2" x14ac:dyDescent="0.2">
      <c r="A36" t="s">
        <v>28</v>
      </c>
    </row>
    <row r="37" spans="1:2" x14ac:dyDescent="0.2">
      <c r="A37" t="s">
        <v>1</v>
      </c>
      <c r="B37">
        <f>-1*(0.273+7.9905)/2</f>
        <v>-4.1317500000000003</v>
      </c>
    </row>
    <row r="38" spans="1:2" x14ac:dyDescent="0.2">
      <c r="A38" t="s">
        <v>2</v>
      </c>
      <c r="B38">
        <f>-1*(10.395+16.3695)/2</f>
        <v>-13.382249999999999</v>
      </c>
    </row>
    <row r="39" spans="1:2" x14ac:dyDescent="0.2">
      <c r="A39" t="s">
        <v>3</v>
      </c>
      <c r="B39">
        <f>-1*(122.991+134.393)/2</f>
        <v>-128.69200000000001</v>
      </c>
    </row>
    <row r="41" spans="1:2" x14ac:dyDescent="0.2">
      <c r="A41" t="s">
        <v>29</v>
      </c>
    </row>
    <row r="42" spans="1:2" x14ac:dyDescent="0.2">
      <c r="A42" t="s">
        <v>1</v>
      </c>
      <c r="B42">
        <f>-1*(0.294+6.6885)/2</f>
        <v>-3.49125</v>
      </c>
    </row>
    <row r="43" spans="1:2" x14ac:dyDescent="0.2">
      <c r="A43" t="s">
        <v>2</v>
      </c>
      <c r="B43">
        <f>-1*(7.1085+11.6025)/2</f>
        <v>-9.3554999999999993</v>
      </c>
    </row>
    <row r="44" spans="1:2" x14ac:dyDescent="0.2">
      <c r="A44" t="s">
        <v>3</v>
      </c>
      <c r="B44">
        <f>-1*(123.343+134.462)/2</f>
        <v>-128.9025</v>
      </c>
    </row>
    <row r="46" spans="1:2" x14ac:dyDescent="0.2">
      <c r="A46" t="s">
        <v>30</v>
      </c>
    </row>
    <row r="47" spans="1:2" x14ac:dyDescent="0.2">
      <c r="A47" t="s">
        <v>1</v>
      </c>
      <c r="B47">
        <f>-1*(2.877+8.6415)/2</f>
        <v>-5.7592499999999998</v>
      </c>
    </row>
    <row r="48" spans="1:2" x14ac:dyDescent="0.2">
      <c r="A48" t="s">
        <v>2</v>
      </c>
      <c r="B48">
        <f>-1*(2.9715+9.2085)/2</f>
        <v>-6.09</v>
      </c>
    </row>
    <row r="49" spans="1:2" x14ac:dyDescent="0.2">
      <c r="A49" t="s">
        <v>3</v>
      </c>
      <c r="B49">
        <f>-1*(123.343+134.568)/2</f>
        <v>-128.9555</v>
      </c>
    </row>
    <row r="51" spans="1:2" x14ac:dyDescent="0.2">
      <c r="A51" t="s">
        <v>31</v>
      </c>
    </row>
    <row r="52" spans="1:2" x14ac:dyDescent="0.2">
      <c r="A52" t="s">
        <v>1</v>
      </c>
      <c r="B52">
        <f>-1*(8.337+13.5555)/2</f>
        <v>-10.946249999999999</v>
      </c>
    </row>
    <row r="53" spans="1:2" x14ac:dyDescent="0.2">
      <c r="A53" t="s">
        <v>2</v>
      </c>
      <c r="B53">
        <f>-1*(1.6905+7.6965)/2</f>
        <v>-4.6935000000000002</v>
      </c>
    </row>
    <row r="54" spans="1:2" x14ac:dyDescent="0.2">
      <c r="A54" t="s">
        <v>3</v>
      </c>
      <c r="B54">
        <f>-1*(127.113+135.156)/2</f>
        <v>-131.1345</v>
      </c>
    </row>
    <row r="56" spans="1:2" x14ac:dyDescent="0.2">
      <c r="A56" t="s">
        <v>32</v>
      </c>
    </row>
    <row r="57" spans="1:2" x14ac:dyDescent="0.2">
      <c r="A57" t="s">
        <v>1</v>
      </c>
      <c r="B57">
        <f>-1*(11.718+16.7265)/2</f>
        <v>-14.222250000000001</v>
      </c>
    </row>
    <row r="58" spans="1:2" x14ac:dyDescent="0.2">
      <c r="A58" t="s">
        <v>2</v>
      </c>
      <c r="B58">
        <f>-1*(4.158+9.6915)/2</f>
        <v>-6.9247499999999995</v>
      </c>
    </row>
    <row r="59" spans="1:2" x14ac:dyDescent="0.2">
      <c r="A59" t="s">
        <v>3</v>
      </c>
      <c r="B59">
        <f>-1*(123.343+132.048)/2</f>
        <v>-127.69550000000001</v>
      </c>
    </row>
    <row r="61" spans="1:2" x14ac:dyDescent="0.2">
      <c r="A61" t="s">
        <v>33</v>
      </c>
    </row>
    <row r="62" spans="1:2" x14ac:dyDescent="0.2">
      <c r="A62" t="s">
        <v>1</v>
      </c>
      <c r="B62">
        <f>-1*(11.235+18.7215)/2</f>
        <v>-14.978249999999999</v>
      </c>
    </row>
    <row r="63" spans="1:2" x14ac:dyDescent="0.2">
      <c r="A63" t="s">
        <v>2</v>
      </c>
      <c r="B63">
        <f>-1*(9.723+15.0465)/2</f>
        <v>-12.38475</v>
      </c>
    </row>
    <row r="64" spans="1:2" x14ac:dyDescent="0.2">
      <c r="A64" t="s">
        <v>3</v>
      </c>
      <c r="B64">
        <f>-1*(123.343+134.148)/2</f>
        <v>-128.74549999999999</v>
      </c>
    </row>
    <row r="66" spans="1:2" x14ac:dyDescent="0.2">
      <c r="A66" t="s">
        <v>34</v>
      </c>
    </row>
    <row r="67" spans="1:2" x14ac:dyDescent="0.2">
      <c r="A67" t="s">
        <v>1</v>
      </c>
      <c r="B67">
        <f>-1*(10.101+15.8235)/2</f>
        <v>-12.962250000000001</v>
      </c>
    </row>
    <row r="68" spans="1:2" x14ac:dyDescent="0.2">
      <c r="A68" t="s">
        <v>2</v>
      </c>
      <c r="B68">
        <f>-1*(12.222+19.0575)/2</f>
        <v>-15.639749999999999</v>
      </c>
    </row>
    <row r="69" spans="1:2" x14ac:dyDescent="0.2">
      <c r="A69" t="s">
        <v>3</v>
      </c>
      <c r="B69">
        <f>-1*(123.343+134.777)/2</f>
        <v>-129.06</v>
      </c>
    </row>
    <row r="71" spans="1:2" x14ac:dyDescent="0.2">
      <c r="A71" t="s">
        <v>35</v>
      </c>
    </row>
    <row r="72" spans="1:2" x14ac:dyDescent="0.2">
      <c r="A72" t="s">
        <v>1</v>
      </c>
      <c r="B72">
        <f>-1*(4.662+10.2585)/2</f>
        <v>-7.4602500000000003</v>
      </c>
    </row>
    <row r="73" spans="1:2" x14ac:dyDescent="0.2">
      <c r="A73" t="s">
        <v>2</v>
      </c>
      <c r="B73">
        <f>-1*(13.104+20.2335)/2</f>
        <v>-16.668749999999999</v>
      </c>
    </row>
    <row r="74" spans="1:2" x14ac:dyDescent="0.2">
      <c r="A74" t="s">
        <v>3</v>
      </c>
      <c r="B74">
        <f>-1*(123.647+134.148)/2</f>
        <v>-128.89750000000001</v>
      </c>
    </row>
    <row r="76" spans="1:2" x14ac:dyDescent="0.2">
      <c r="A76" t="s">
        <v>36</v>
      </c>
    </row>
    <row r="77" spans="1:2" x14ac:dyDescent="0.2">
      <c r="A77" t="s">
        <v>1</v>
      </c>
      <c r="B77">
        <f>-1*(0.483+6.7095)/2</f>
        <v>-3.5962499999999999</v>
      </c>
    </row>
    <row r="78" spans="1:2" x14ac:dyDescent="0.2">
      <c r="A78" t="s">
        <v>2</v>
      </c>
      <c r="B78">
        <f>-1*(11.235+17.2935)/2</f>
        <v>-14.264250000000001</v>
      </c>
    </row>
    <row r="79" spans="1:2" x14ac:dyDescent="0.2">
      <c r="A79" t="s">
        <v>3</v>
      </c>
      <c r="B79">
        <f>-1*(123.343+132.467)/2</f>
        <v>-127.905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9"/>
  <sheetViews>
    <sheetView topLeftCell="A72" workbookViewId="0">
      <selection activeCell="B120" sqref="B120"/>
    </sheetView>
  </sheetViews>
  <sheetFormatPr baseColWidth="10" defaultColWidth="8.83203125" defaultRowHeight="15" x14ac:dyDescent="0.2"/>
  <sheetData>
    <row r="1" spans="1:2" x14ac:dyDescent="0.2">
      <c r="A1" t="s">
        <v>37</v>
      </c>
    </row>
    <row r="2" spans="1:2" x14ac:dyDescent="0.2">
      <c r="A2" t="s">
        <v>1</v>
      </c>
      <c r="B2">
        <f>-1*(0.5985+6.3105)/2</f>
        <v>-3.4545000000000003</v>
      </c>
    </row>
    <row r="3" spans="1:2" x14ac:dyDescent="0.2">
      <c r="A3" t="s">
        <v>2</v>
      </c>
      <c r="B3">
        <f>-1*(4.641+10.5945)/2</f>
        <v>-7.61775</v>
      </c>
    </row>
    <row r="4" spans="1:2" x14ac:dyDescent="0.2">
      <c r="A4" t="s">
        <v>3</v>
      </c>
      <c r="B4">
        <f>-1*(121.666+133.479)/2</f>
        <v>-127.57250000000001</v>
      </c>
    </row>
    <row r="6" spans="1:2" x14ac:dyDescent="0.2">
      <c r="A6" t="s">
        <v>38</v>
      </c>
    </row>
    <row r="7" spans="1:2" x14ac:dyDescent="0.2">
      <c r="A7" t="s">
        <v>1</v>
      </c>
      <c r="B7">
        <f>-1*(3.0135+8.8725)/2</f>
        <v>-5.9430000000000005</v>
      </c>
    </row>
    <row r="8" spans="1:2" x14ac:dyDescent="0.2">
      <c r="A8" t="s">
        <v>2</v>
      </c>
      <c r="B8">
        <f>-1*(1.3755+8.1795)/2</f>
        <v>-4.7775000000000007</v>
      </c>
    </row>
    <row r="9" spans="1:2" x14ac:dyDescent="0.2">
      <c r="A9" t="s">
        <v>3</v>
      </c>
      <c r="B9">
        <f>-1*(121.666+133.479)/2</f>
        <v>-127.57250000000001</v>
      </c>
    </row>
    <row r="11" spans="1:2" x14ac:dyDescent="0.2">
      <c r="A11" t="s">
        <v>39</v>
      </c>
    </row>
    <row r="12" spans="1:2" x14ac:dyDescent="0.2">
      <c r="A12" t="s">
        <v>1</v>
      </c>
      <c r="B12">
        <f>-1*(9.114+14.8575)/2</f>
        <v>-11.985749999999999</v>
      </c>
    </row>
    <row r="13" spans="1:2" x14ac:dyDescent="0.2">
      <c r="A13" t="s">
        <v>2</v>
      </c>
      <c r="B13">
        <f>-1*(0.9555+9.5445)/2</f>
        <v>-5.25</v>
      </c>
    </row>
    <row r="14" spans="1:2" x14ac:dyDescent="0.2">
      <c r="A14" t="s">
        <v>3</v>
      </c>
      <c r="B14">
        <f>-1*(122.705+133.479)/2</f>
        <v>-128.09200000000001</v>
      </c>
    </row>
    <row r="16" spans="1:2" x14ac:dyDescent="0.2">
      <c r="A16" t="s">
        <v>40</v>
      </c>
    </row>
    <row r="17" spans="1:2" x14ac:dyDescent="0.2">
      <c r="A17" t="s">
        <v>1</v>
      </c>
      <c r="B17">
        <f>-1*(12.39+17.6715)/2</f>
        <v>-15.030750000000001</v>
      </c>
    </row>
    <row r="18" spans="1:2" x14ac:dyDescent="0.2">
      <c r="A18" t="s">
        <v>2</v>
      </c>
      <c r="B18">
        <f>-1*(2.3205+8.7675)/2</f>
        <v>-5.5440000000000005</v>
      </c>
    </row>
    <row r="19" spans="1:2" x14ac:dyDescent="0.2">
      <c r="A19" t="s">
        <v>3</v>
      </c>
      <c r="B19">
        <f>-1*(121.666+131.63)/2</f>
        <v>-126.648</v>
      </c>
    </row>
    <row r="21" spans="1:2" x14ac:dyDescent="0.2">
      <c r="A21" t="s">
        <v>41</v>
      </c>
    </row>
    <row r="22" spans="1:2" x14ac:dyDescent="0.2">
      <c r="A22" t="s">
        <v>1</v>
      </c>
      <c r="B22">
        <f>-1*(12.159+18.8475)/2</f>
        <v>-15.503250000000001</v>
      </c>
    </row>
    <row r="23" spans="1:2" x14ac:dyDescent="0.2">
      <c r="A23" t="s">
        <v>2</v>
      </c>
      <c r="B23">
        <f>-1*(10.332+15.8235)/2</f>
        <v>-13.07775</v>
      </c>
    </row>
    <row r="24" spans="1:2" x14ac:dyDescent="0.2">
      <c r="A24" t="s">
        <v>3</v>
      </c>
      <c r="B24">
        <f>-1*(121.666+133.479)/2</f>
        <v>-127.57250000000001</v>
      </c>
    </row>
    <row r="26" spans="1:2" x14ac:dyDescent="0.2">
      <c r="A26" t="s">
        <v>42</v>
      </c>
    </row>
    <row r="27" spans="1:2" x14ac:dyDescent="0.2">
      <c r="A27" t="s">
        <v>1</v>
      </c>
      <c r="B27">
        <f>-1*(10.101+15.5295)/2</f>
        <v>-12.815250000000001</v>
      </c>
    </row>
    <row r="28" spans="1:2" x14ac:dyDescent="0.2">
      <c r="A28" t="s">
        <v>2</v>
      </c>
      <c r="B28">
        <f>-1*(14.6895+20.2965)/2</f>
        <v>-17.493000000000002</v>
      </c>
    </row>
    <row r="29" spans="1:2" x14ac:dyDescent="0.2">
      <c r="A29" t="s">
        <v>3</v>
      </c>
      <c r="B29">
        <f>-1*(121.666+133.479)/2</f>
        <v>-127.57250000000001</v>
      </c>
    </row>
    <row r="31" spans="1:2" x14ac:dyDescent="0.2">
      <c r="A31" t="s">
        <v>43</v>
      </c>
    </row>
    <row r="32" spans="1:2" x14ac:dyDescent="0.2">
      <c r="A32" t="s">
        <v>1</v>
      </c>
      <c r="B32">
        <f>-1*(4.5255+10.2165)/2</f>
        <v>-7.3710000000000004</v>
      </c>
    </row>
    <row r="33" spans="1:2" x14ac:dyDescent="0.2">
      <c r="A33" t="s">
        <v>2</v>
      </c>
      <c r="B33">
        <f>-1*(12.306+20.6535)/2</f>
        <v>-16.479749999999999</v>
      </c>
    </row>
    <row r="34" spans="1:2" x14ac:dyDescent="0.2">
      <c r="A34" t="s">
        <v>3</v>
      </c>
      <c r="B34">
        <f>-1*(121.666+133.479)/2</f>
        <v>-127.57250000000001</v>
      </c>
    </row>
    <row r="36" spans="1:2" x14ac:dyDescent="0.2">
      <c r="A36" t="s">
        <v>44</v>
      </c>
    </row>
    <row r="37" spans="1:2" x14ac:dyDescent="0.2">
      <c r="A37" t="s">
        <v>1</v>
      </c>
      <c r="B37">
        <f>-1*(0.7665+6.9825)/2</f>
        <v>-3.8744999999999998</v>
      </c>
    </row>
    <row r="38" spans="1:2" x14ac:dyDescent="0.2">
      <c r="A38" t="s">
        <v>2</v>
      </c>
      <c r="B38">
        <f>-1*(11.3715+17.1885)/2</f>
        <v>-14.280000000000001</v>
      </c>
    </row>
    <row r="39" spans="1:2" x14ac:dyDescent="0.2">
      <c r="A39" t="s">
        <v>3</v>
      </c>
      <c r="B39">
        <f>-1*(121.666+129.32)/2</f>
        <v>-125.49299999999999</v>
      </c>
    </row>
    <row r="41" spans="1:2" x14ac:dyDescent="0.2">
      <c r="A41" t="s">
        <v>45</v>
      </c>
    </row>
    <row r="42" spans="1:2" x14ac:dyDescent="0.2">
      <c r="A42" t="s">
        <v>1</v>
      </c>
      <c r="B42">
        <f>-1*(0.42+5.8485)/2</f>
        <v>-3.1342499999999998</v>
      </c>
    </row>
    <row r="43" spans="1:2" x14ac:dyDescent="0.2">
      <c r="A43" t="s">
        <v>2</v>
      </c>
      <c r="B43">
        <f>-1*(4.8825+10.1535)/2</f>
        <v>-7.5179999999999998</v>
      </c>
    </row>
    <row r="44" spans="1:2" x14ac:dyDescent="0.2">
      <c r="A44" t="s">
        <v>3</v>
      </c>
      <c r="B44">
        <f>-1*(120.958+132.561)/2</f>
        <v>-126.7595</v>
      </c>
    </row>
    <row r="46" spans="1:2" x14ac:dyDescent="0.2">
      <c r="A46" t="s">
        <v>46</v>
      </c>
    </row>
    <row r="47" spans="1:2" x14ac:dyDescent="0.2">
      <c r="A47" t="s">
        <v>1</v>
      </c>
      <c r="B47">
        <f>-1*(3.1605+9.2295)/2</f>
        <v>-6.1950000000000003</v>
      </c>
    </row>
    <row r="48" spans="1:2" x14ac:dyDescent="0.2">
      <c r="A48" t="s">
        <v>2</v>
      </c>
      <c r="B48">
        <f>-1*(2.079+7.9695)/2</f>
        <v>-5.0242500000000003</v>
      </c>
    </row>
    <row r="49" spans="1:2" x14ac:dyDescent="0.2">
      <c r="A49" t="s">
        <v>3</v>
      </c>
      <c r="B49">
        <f>-1*(116.653+132.561)/2</f>
        <v>-124.607</v>
      </c>
    </row>
    <row r="51" spans="1:2" x14ac:dyDescent="0.2">
      <c r="A51" t="s">
        <v>47</v>
      </c>
    </row>
    <row r="52" spans="1:2" x14ac:dyDescent="0.2">
      <c r="A52" t="s">
        <v>1</v>
      </c>
      <c r="B52">
        <f>-1*(10.2375+16.7685)/2</f>
        <v>-13.503</v>
      </c>
    </row>
    <row r="53" spans="1:2" x14ac:dyDescent="0.2">
      <c r="A53" t="s">
        <v>2</v>
      </c>
      <c r="B53">
        <f>-1*(1.1235+7.7175)/2</f>
        <v>-4.4205000000000005</v>
      </c>
    </row>
    <row r="54" spans="1:2" x14ac:dyDescent="0.2">
      <c r="A54" t="s">
        <v>3</v>
      </c>
      <c r="B54">
        <f>-1*(121.861+132.561)/2</f>
        <v>-127.21100000000001</v>
      </c>
    </row>
    <row r="56" spans="1:2" x14ac:dyDescent="0.2">
      <c r="A56" t="s">
        <v>48</v>
      </c>
    </row>
    <row r="57" spans="1:2" x14ac:dyDescent="0.2">
      <c r="A57" t="s">
        <v>1</v>
      </c>
      <c r="B57">
        <f>-1*(12.18+18.2385)/2</f>
        <v>-15.209249999999999</v>
      </c>
    </row>
    <row r="58" spans="1:2" x14ac:dyDescent="0.2">
      <c r="A58" t="s">
        <v>2</v>
      </c>
      <c r="B58">
        <f>-1*(5.397+10.8885)/2</f>
        <v>-8.1427499999999995</v>
      </c>
    </row>
    <row r="59" spans="1:2" x14ac:dyDescent="0.2">
      <c r="A59" t="s">
        <v>3</v>
      </c>
      <c r="B59">
        <f>-1*(114.879+126.313)/2</f>
        <v>-120.596</v>
      </c>
    </row>
    <row r="61" spans="1:2" x14ac:dyDescent="0.2">
      <c r="A61" t="s">
        <v>49</v>
      </c>
    </row>
    <row r="62" spans="1:2" x14ac:dyDescent="0.2">
      <c r="A62" t="s">
        <v>1</v>
      </c>
      <c r="B62">
        <f>-1*(11.2245+18.0705)/2</f>
        <v>-14.647500000000001</v>
      </c>
    </row>
    <row r="63" spans="1:2" x14ac:dyDescent="0.2">
      <c r="A63" t="s">
        <v>2</v>
      </c>
      <c r="B63">
        <f>-1*(11.025+16.8105)/2</f>
        <v>-13.917750000000002</v>
      </c>
    </row>
    <row r="64" spans="1:2" x14ac:dyDescent="0.2">
      <c r="A64" t="s">
        <v>3</v>
      </c>
      <c r="B64">
        <f>-1*(114.879+127.888)/2</f>
        <v>-121.3835</v>
      </c>
    </row>
    <row r="66" spans="1:2" x14ac:dyDescent="0.2">
      <c r="A66" t="s">
        <v>50</v>
      </c>
    </row>
    <row r="67" spans="1:2" x14ac:dyDescent="0.2">
      <c r="A67" t="s">
        <v>1</v>
      </c>
      <c r="B67">
        <f>-1*(8.673+14.7105)/2</f>
        <v>-11.691749999999999</v>
      </c>
    </row>
    <row r="68" spans="1:2" x14ac:dyDescent="0.2">
      <c r="A68" t="s">
        <v>2</v>
      </c>
      <c r="B68">
        <f>-1*(11.697+20.3595)/2</f>
        <v>-16.02825</v>
      </c>
    </row>
    <row r="69" spans="1:2" x14ac:dyDescent="0.2">
      <c r="A69" t="s">
        <v>3</v>
      </c>
      <c r="B69">
        <f>-1*(114.879+127.153)/2</f>
        <v>-121.01600000000001</v>
      </c>
    </row>
    <row r="71" spans="1:2" x14ac:dyDescent="0.2">
      <c r="A71" t="s">
        <v>51</v>
      </c>
    </row>
    <row r="72" spans="1:2" x14ac:dyDescent="0.2">
      <c r="A72" t="s">
        <v>1</v>
      </c>
      <c r="B72">
        <f>-1*(3.0135+8.3475)/2</f>
        <v>-5.6805000000000003</v>
      </c>
    </row>
    <row r="73" spans="1:2" x14ac:dyDescent="0.2">
      <c r="A73" t="s">
        <v>2</v>
      </c>
      <c r="B73">
        <f>-1*(12.579+19.5825)/2</f>
        <v>-16.080750000000002</v>
      </c>
    </row>
    <row r="74" spans="1:2" x14ac:dyDescent="0.2">
      <c r="A74" t="s">
        <v>3</v>
      </c>
      <c r="B74">
        <f>-1*(114.879+126.418)/2</f>
        <v>-120.64850000000001</v>
      </c>
    </row>
    <row r="76" spans="1:2" x14ac:dyDescent="0.2">
      <c r="A76" t="s">
        <v>52</v>
      </c>
    </row>
    <row r="77" spans="1:2" x14ac:dyDescent="0.2">
      <c r="A77" t="s">
        <v>1</v>
      </c>
      <c r="B77">
        <f>-1*(0.105+6.0165)/2</f>
        <v>-3.0607500000000001</v>
      </c>
    </row>
    <row r="78" spans="1:2" x14ac:dyDescent="0.2">
      <c r="A78" t="s">
        <v>2</v>
      </c>
      <c r="B78">
        <f>-1*(9.8805+15.2565)/2</f>
        <v>-12.5685</v>
      </c>
    </row>
    <row r="79" spans="1:2" x14ac:dyDescent="0.2">
      <c r="A79" t="s">
        <v>3</v>
      </c>
      <c r="B79">
        <f>-1*(114.879+125.158)/2</f>
        <v>-120.0185</v>
      </c>
    </row>
    <row r="81" spans="1:2" x14ac:dyDescent="0.2">
      <c r="A81" t="s">
        <v>53</v>
      </c>
    </row>
    <row r="82" spans="1:2" x14ac:dyDescent="0.2">
      <c r="A82" t="s">
        <v>1</v>
      </c>
      <c r="B82">
        <f>-1*(3.822+8.9985)/2</f>
        <v>-6.4102499999999996</v>
      </c>
    </row>
    <row r="83" spans="1:2" x14ac:dyDescent="0.2">
      <c r="A83" t="s">
        <v>2</v>
      </c>
      <c r="B83">
        <f>-1*(4.7355+10.5315)/2</f>
        <v>-7.6334999999999997</v>
      </c>
    </row>
    <row r="84" spans="1:2" x14ac:dyDescent="0.2">
      <c r="A84" t="s">
        <v>3</v>
      </c>
      <c r="B84">
        <f>-1*(124.452+133.02)/2</f>
        <v>-128.73599999999999</v>
      </c>
    </row>
    <row r="86" spans="1:2" x14ac:dyDescent="0.2">
      <c r="A86" t="s">
        <v>54</v>
      </c>
    </row>
    <row r="87" spans="1:2" x14ac:dyDescent="0.2">
      <c r="A87" t="s">
        <v>1</v>
      </c>
      <c r="B87">
        <f>-1*(2.919+8.5785)/2</f>
        <v>-5.7487500000000002</v>
      </c>
    </row>
    <row r="88" spans="1:2" x14ac:dyDescent="0.2">
      <c r="A88" t="s">
        <v>2</v>
      </c>
      <c r="B88">
        <f>-1*(1.4385+6.4785)/2</f>
        <v>-3.9584999999999999</v>
      </c>
    </row>
    <row r="89" spans="1:2" x14ac:dyDescent="0.2">
      <c r="A89" t="s">
        <v>3</v>
      </c>
      <c r="B89">
        <f>-1*(121.827+131.068)/2</f>
        <v>-126.44750000000001</v>
      </c>
    </row>
    <row r="91" spans="1:2" x14ac:dyDescent="0.2">
      <c r="A91" t="s">
        <v>55</v>
      </c>
    </row>
    <row r="92" spans="1:2" x14ac:dyDescent="0.2">
      <c r="A92" t="s">
        <v>1</v>
      </c>
      <c r="B92">
        <f>-1*(9.324+14.4585)/2</f>
        <v>-11.891249999999999</v>
      </c>
    </row>
    <row r="93" spans="1:2" x14ac:dyDescent="0.2">
      <c r="A93" t="s">
        <v>2</v>
      </c>
      <c r="B93">
        <f>-1*(1.1865+9.0195)/2</f>
        <v>-5.1030000000000006</v>
      </c>
    </row>
    <row r="94" spans="1:2" x14ac:dyDescent="0.2">
      <c r="A94" t="s">
        <v>3</v>
      </c>
      <c r="B94">
        <f>-1*(121.208+133.02)/2</f>
        <v>-127.114</v>
      </c>
    </row>
    <row r="96" spans="1:2" x14ac:dyDescent="0.2">
      <c r="A96" t="s">
        <v>56</v>
      </c>
    </row>
    <row r="97" spans="1:2" x14ac:dyDescent="0.2">
      <c r="A97" t="s">
        <v>1</v>
      </c>
      <c r="B97">
        <f>-1*(12.8205+18.4485)/2</f>
        <v>-15.634499999999999</v>
      </c>
    </row>
    <row r="98" spans="1:2" x14ac:dyDescent="0.2">
      <c r="A98" t="s">
        <v>2</v>
      </c>
      <c r="B98">
        <f>-1*(2.7405+8.6625)/2</f>
        <v>-5.7014999999999993</v>
      </c>
    </row>
    <row r="99" spans="1:2" x14ac:dyDescent="0.2">
      <c r="A99" t="s">
        <v>3</v>
      </c>
      <c r="B99">
        <f>-1*(121.208+133.02)/2</f>
        <v>-127.114</v>
      </c>
    </row>
    <row r="101" spans="1:2" x14ac:dyDescent="0.2">
      <c r="A101" t="s">
        <v>57</v>
      </c>
    </row>
    <row r="102" spans="1:2" x14ac:dyDescent="0.2">
      <c r="A102" t="s">
        <v>1</v>
      </c>
      <c r="B102">
        <f>-1*(13.1565+19.3095)/2</f>
        <v>-16.233000000000001</v>
      </c>
    </row>
    <row r="103" spans="1:2" x14ac:dyDescent="0.2">
      <c r="A103" t="s">
        <v>2</v>
      </c>
      <c r="B103">
        <f>-1*(10.269+15.7605)/2</f>
        <v>-13.014749999999999</v>
      </c>
    </row>
    <row r="104" spans="1:2" x14ac:dyDescent="0.2">
      <c r="A104" t="s">
        <v>3</v>
      </c>
      <c r="B104">
        <f>-1*(121.512+133.02)/2</f>
        <v>-127.26600000000001</v>
      </c>
    </row>
    <row r="106" spans="1:2" x14ac:dyDescent="0.2">
      <c r="A106" t="s">
        <v>58</v>
      </c>
    </row>
    <row r="107" spans="1:2" x14ac:dyDescent="0.2">
      <c r="A107" t="s">
        <v>1</v>
      </c>
      <c r="B107">
        <f>-1*(9.6705+15.2565)/2</f>
        <v>-12.4635</v>
      </c>
    </row>
    <row r="108" spans="1:2" x14ac:dyDescent="0.2">
      <c r="A108" t="s">
        <v>2</v>
      </c>
      <c r="B108">
        <f>-1*(14.5845+20.3175)/2</f>
        <v>-17.451000000000001</v>
      </c>
    </row>
    <row r="109" spans="1:2" x14ac:dyDescent="0.2">
      <c r="A109" t="s">
        <v>3</v>
      </c>
      <c r="B109">
        <f>-1*(121.512+133.02)/2</f>
        <v>-127.26600000000001</v>
      </c>
    </row>
    <row r="111" spans="1:2" x14ac:dyDescent="0.2">
      <c r="A111" t="s">
        <v>59</v>
      </c>
    </row>
    <row r="112" spans="1:2" x14ac:dyDescent="0.2">
      <c r="A112" t="s">
        <v>1</v>
      </c>
      <c r="B112">
        <f>-1*(4.6515+9.6285)/2</f>
        <v>-7.1400000000000006</v>
      </c>
    </row>
    <row r="113" spans="1:2" x14ac:dyDescent="0.2">
      <c r="A113" t="s">
        <v>2</v>
      </c>
      <c r="B113">
        <f>-1*(13.923+20.1285)/2</f>
        <v>-17.025749999999999</v>
      </c>
    </row>
    <row r="114" spans="1:2" x14ac:dyDescent="0.2">
      <c r="A114" t="s">
        <v>3</v>
      </c>
      <c r="B114">
        <f>-1*(123.507+133.02)/2</f>
        <v>-128.26350000000002</v>
      </c>
    </row>
    <row r="116" spans="1:2" x14ac:dyDescent="0.2">
      <c r="A116" t="s">
        <v>60</v>
      </c>
    </row>
    <row r="117" spans="1:2" x14ac:dyDescent="0.2">
      <c r="A117" t="s">
        <v>1</v>
      </c>
      <c r="B117">
        <f>-1*(0.462+5.8695)/2</f>
        <v>-3.1657500000000001</v>
      </c>
    </row>
    <row r="118" spans="1:2" x14ac:dyDescent="0.2">
      <c r="A118" t="s">
        <v>2</v>
      </c>
      <c r="B118">
        <f>-1*(11.0985+16.8735)/2</f>
        <v>-13.986000000000001</v>
      </c>
    </row>
    <row r="119" spans="1:2" x14ac:dyDescent="0.2">
      <c r="A119" t="s">
        <v>3</v>
      </c>
      <c r="B119">
        <f>-1*(121.208+130.753)/2</f>
        <v>-125.98049999999999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OA-6</vt:lpstr>
      <vt:lpstr>OA-7</vt:lpstr>
      <vt:lpstr>OA-8</vt:lpstr>
    </vt:vector>
  </TitlesOfParts>
  <Company>URMC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Sittplangkoon, Chutamath</dc:creator>
  <cp:lastModifiedBy>Zhenqiang Yao</cp:lastModifiedBy>
  <dcterms:created xsi:type="dcterms:W3CDTF">2025-12-27T00:46:35Z</dcterms:created>
  <dcterms:modified xsi:type="dcterms:W3CDTF">2026-01-11T22:36:49Z</dcterms:modified>
</cp:coreProperties>
</file>