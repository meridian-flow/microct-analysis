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ZYao/Documents/Manuscript/OA uCT quantufication/uCT OA paper revision/uCT revision final doc/uCT dataset/"/>
    </mc:Choice>
  </mc:AlternateContent>
  <xr:revisionPtr revIDLastSave="0" documentId="13_ncr:1_{527DFB05-7A5D-334B-9BDB-FBB5F0BC2F64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Mint OA6,8 MMS" sheetId="3" r:id="rId1"/>
    <sheet name="Mint OA-7 aged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5" l="1"/>
  <c r="G18" i="5"/>
  <c r="G19" i="5"/>
  <c r="G20" i="5"/>
  <c r="G21" i="5"/>
  <c r="G22" i="5"/>
  <c r="G23" i="5"/>
  <c r="G24" i="5"/>
  <c r="G5" i="5"/>
  <c r="G6" i="5"/>
  <c r="G7" i="5"/>
  <c r="G8" i="5"/>
  <c r="G9" i="5"/>
  <c r="G10" i="5"/>
  <c r="G11" i="5"/>
  <c r="N24" i="5"/>
  <c r="N23" i="5"/>
  <c r="N22" i="5"/>
  <c r="N21" i="5"/>
  <c r="N20" i="5"/>
  <c r="N19" i="5"/>
  <c r="N18" i="5"/>
  <c r="N17" i="5"/>
  <c r="G17" i="5"/>
  <c r="N11" i="5"/>
  <c r="N10" i="5"/>
  <c r="N9" i="5"/>
  <c r="N8" i="5"/>
  <c r="N7" i="5"/>
  <c r="N6" i="5"/>
  <c r="N4" i="5"/>
  <c r="G4" i="5"/>
  <c r="N36" i="3" l="1"/>
  <c r="N55" i="3"/>
  <c r="H55" i="3"/>
  <c r="N54" i="3"/>
  <c r="H54" i="3"/>
  <c r="N53" i="3"/>
  <c r="H53" i="3"/>
  <c r="N52" i="3"/>
  <c r="H52" i="3"/>
  <c r="N51" i="3"/>
  <c r="H51" i="3"/>
  <c r="N50" i="3"/>
  <c r="H50" i="3"/>
  <c r="H13" i="3"/>
  <c r="H12" i="3"/>
  <c r="H11" i="3"/>
  <c r="H10" i="3"/>
  <c r="H9" i="3"/>
  <c r="H8" i="3"/>
  <c r="N66" i="3"/>
  <c r="H66" i="3"/>
  <c r="N65" i="3"/>
  <c r="H65" i="3"/>
  <c r="N64" i="3"/>
  <c r="H64" i="3"/>
  <c r="N63" i="3"/>
  <c r="H63" i="3"/>
  <c r="N62" i="3"/>
  <c r="H62" i="3"/>
  <c r="N61" i="3"/>
  <c r="H61" i="3"/>
  <c r="N24" i="3"/>
  <c r="H24" i="3"/>
  <c r="N23" i="3"/>
  <c r="H23" i="3"/>
  <c r="N22" i="3"/>
  <c r="H22" i="3"/>
  <c r="N21" i="3"/>
  <c r="H21" i="3"/>
  <c r="N20" i="3"/>
  <c r="H20" i="3"/>
  <c r="N19" i="3"/>
  <c r="H19" i="3"/>
  <c r="N13" i="3"/>
  <c r="N12" i="3"/>
  <c r="N11" i="3"/>
  <c r="N10" i="3"/>
  <c r="N9" i="3"/>
  <c r="N8" i="3"/>
  <c r="N5" i="3" l="1"/>
  <c r="N6" i="3"/>
  <c r="N7" i="3"/>
  <c r="N47" i="3"/>
  <c r="N48" i="3"/>
  <c r="N49" i="3"/>
  <c r="N33" i="3"/>
  <c r="N34" i="3"/>
  <c r="N35" i="3"/>
  <c r="N37" i="3"/>
  <c r="N38" i="3"/>
  <c r="N72" i="3"/>
  <c r="N73" i="3"/>
  <c r="N74" i="3"/>
  <c r="N75" i="3"/>
  <c r="N76" i="3"/>
  <c r="N32" i="3"/>
  <c r="H33" i="3" l="1"/>
  <c r="H32" i="3"/>
  <c r="H34" i="3" l="1"/>
  <c r="H35" i="3"/>
  <c r="H36" i="3"/>
  <c r="H37" i="3"/>
  <c r="H38" i="3"/>
  <c r="H72" i="3"/>
  <c r="H73" i="3"/>
  <c r="H74" i="3"/>
  <c r="H75" i="3"/>
  <c r="H76" i="3"/>
  <c r="H5" i="3"/>
  <c r="H6" i="3"/>
  <c r="H7" i="3"/>
  <c r="H47" i="3"/>
  <c r="H48" i="3"/>
  <c r="H49" i="3"/>
</calcChain>
</file>

<file path=xl/sharedStrings.xml><?xml version="1.0" encoding="utf-8"?>
<sst xmlns="http://schemas.openxmlformats.org/spreadsheetml/2006/main" count="276" uniqueCount="104">
  <si>
    <t>Sample</t>
  </si>
  <si>
    <t>OA6-1RK</t>
  </si>
  <si>
    <t>OA6-2RK</t>
  </si>
  <si>
    <t>OA6-3RK</t>
  </si>
  <si>
    <t>OA6-4RK</t>
  </si>
  <si>
    <t>OA6-5RK</t>
  </si>
  <si>
    <t>OA6-6RK</t>
  </si>
  <si>
    <t>OA6-13LK2</t>
  </si>
  <si>
    <t>OA6-14LK3</t>
  </si>
  <si>
    <t>OA6-15LK4</t>
  </si>
  <si>
    <t>OA6-16LK8</t>
  </si>
  <si>
    <t>OA6-17LK9</t>
  </si>
  <si>
    <t>OA6-18LK10</t>
  </si>
  <si>
    <t>OA6-7RK</t>
  </si>
  <si>
    <t>OA6-8RK</t>
  </si>
  <si>
    <t>OA6-9RK</t>
  </si>
  <si>
    <t>OA6-10RK</t>
  </si>
  <si>
    <t>OA6-11RK</t>
  </si>
  <si>
    <t>OA6-12RK</t>
  </si>
  <si>
    <t xml:space="preserve"> Femur Width/length</t>
  </si>
  <si>
    <t>distal femur length</t>
  </si>
  <si>
    <t>Max Height II-O center</t>
  </si>
  <si>
    <t>femur width</t>
  </si>
  <si>
    <t>tibia plate width</t>
  </si>
  <si>
    <t>Mint</t>
  </si>
  <si>
    <t>plate H/W ratio</t>
  </si>
  <si>
    <t>Femur Width</t>
  </si>
  <si>
    <t>GP H/W</t>
  </si>
  <si>
    <t>max height II-OC</t>
  </si>
  <si>
    <t>OA8-13L</t>
  </si>
  <si>
    <t>OA8-14L</t>
  </si>
  <si>
    <t>OA8-15L</t>
  </si>
  <si>
    <t>OA8-16L</t>
  </si>
  <si>
    <t>OA8-17L</t>
  </si>
  <si>
    <t>OA8-18L</t>
  </si>
  <si>
    <t>Tibia plateWidth</t>
  </si>
  <si>
    <t>OA8-1R</t>
  </si>
  <si>
    <t>OA8-2R</t>
  </si>
  <si>
    <t>OA8-3R</t>
  </si>
  <si>
    <t>OA8-4R</t>
  </si>
  <si>
    <t>OA8-5R</t>
  </si>
  <si>
    <t>OA8-6R</t>
  </si>
  <si>
    <t>OA8-7R</t>
  </si>
  <si>
    <t>OA8-8R</t>
  </si>
  <si>
    <t>OA8-9R</t>
  </si>
  <si>
    <t>OA8-10R</t>
  </si>
  <si>
    <t>OA8-11R</t>
  </si>
  <si>
    <t>OA8-12R</t>
  </si>
  <si>
    <t xml:space="preserve">WT </t>
  </si>
  <si>
    <t>Normal</t>
  </si>
  <si>
    <t>normal</t>
  </si>
  <si>
    <t>Sex</t>
  </si>
  <si>
    <t>OA8-19L</t>
  </si>
  <si>
    <t>OA8-20L</t>
  </si>
  <si>
    <t>OA8-21L</t>
  </si>
  <si>
    <t>OA8-22L</t>
  </si>
  <si>
    <t>OA8-23L</t>
  </si>
  <si>
    <t>OA8-24L</t>
  </si>
  <si>
    <t>Max Height II-OC</t>
  </si>
  <si>
    <t>IIOC-H/W ratio</t>
  </si>
  <si>
    <t>Age (Months)</t>
  </si>
  <si>
    <t>F</t>
  </si>
  <si>
    <t>M</t>
  </si>
  <si>
    <t>OA7-1L</t>
  </si>
  <si>
    <t>OA7-1R</t>
  </si>
  <si>
    <t>OA7-2L</t>
  </si>
  <si>
    <t>OA7-2R</t>
  </si>
  <si>
    <t>OA7-3L</t>
  </si>
  <si>
    <t>OA7-3R</t>
  </si>
  <si>
    <t>OA7-4L</t>
  </si>
  <si>
    <t>OA7-4R</t>
  </si>
  <si>
    <t>OA7-5L</t>
  </si>
  <si>
    <t>OA7-5R</t>
  </si>
  <si>
    <t>OA7-6L</t>
  </si>
  <si>
    <t>OA7-6R</t>
  </si>
  <si>
    <t>OA7-7L</t>
  </si>
  <si>
    <t>OA7-7R</t>
  </si>
  <si>
    <t>OA7-8L</t>
  </si>
  <si>
    <t>OA7-8R</t>
  </si>
  <si>
    <t>Tibia Width(L-R)</t>
  </si>
  <si>
    <t>max height</t>
  </si>
  <si>
    <t>height/Width tibia</t>
  </si>
  <si>
    <t>uCT II-OC</t>
  </si>
  <si>
    <t>II.OC</t>
  </si>
  <si>
    <t>4 weeks</t>
  </si>
  <si>
    <t>8 weeks</t>
  </si>
  <si>
    <t>Young mice</t>
  </si>
  <si>
    <t>aged mice</t>
  </si>
  <si>
    <t>tibia width</t>
  </si>
  <si>
    <t>MMS</t>
  </si>
  <si>
    <t>MMS 4 wk</t>
  </si>
  <si>
    <t>MMS 8 wk</t>
  </si>
  <si>
    <t>GM-/-</t>
  </si>
  <si>
    <t>GM -/-</t>
  </si>
  <si>
    <t>5 months</t>
  </si>
  <si>
    <t>28 months</t>
  </si>
  <si>
    <t>Age months</t>
  </si>
  <si>
    <t>NJ</t>
  </si>
  <si>
    <t>4 week</t>
  </si>
  <si>
    <t>8 week</t>
  </si>
  <si>
    <t>Leah</t>
  </si>
  <si>
    <t>second reader</t>
  </si>
  <si>
    <t>Second reader</t>
  </si>
  <si>
    <t>II-OC H/W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</si>
</sst>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/>
    </xf>
    <xf numFmtId="164" fontId="0" fillId="0" borderId="0" xfId="0" applyNumberFormat="1"/>
    <xf numFmtId="164" fontId="0" fillId="2" borderId="0" xfId="0" applyNumberFormat="1" applyFill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 vertical="center"/>
    </xf>
    <xf numFmtId="165" fontId="0" fillId="3" borderId="0" xfId="0" applyNumberForma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2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/>
    </xf>
    <xf numFmtId="0" fontId="0" fillId="4" borderId="0" xfId="0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10</xdr:row>
      <xdr:rowOff>0</xdr:rowOff>
    </xdr:from>
    <xdr:to>
      <xdr:col>13</xdr:col>
      <xdr:colOff>278606</xdr:colOff>
      <xdr:row>11</xdr:row>
      <xdr:rowOff>180001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8C5EBBB-7D05-C24B-F75B-00BEAE52CF3C}"/>
            </a:ext>
          </a:extLst>
        </xdr:cNvPr>
        <xdr:cNvSpPr txBox="1"/>
      </xdr:nvSpPr>
      <xdr:spPr>
        <a:xfrm>
          <a:off x="12174204" y="1989936"/>
          <a:ext cx="278606" cy="37414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11</xdr:row>
      <xdr:rowOff>0</xdr:rowOff>
    </xdr:from>
    <xdr:to>
      <xdr:col>15</xdr:col>
      <xdr:colOff>278606</xdr:colOff>
      <xdr:row>12</xdr:row>
      <xdr:rowOff>180001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949EC6-97DF-8049-9062-B8C1E589F0A8}"/>
            </a:ext>
          </a:extLst>
        </xdr:cNvPr>
        <xdr:cNvSpPr txBox="1"/>
      </xdr:nvSpPr>
      <xdr:spPr>
        <a:xfrm>
          <a:off x="13385800" y="1981200"/>
          <a:ext cx="278606" cy="370501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7"/>
  <sheetViews>
    <sheetView tabSelected="1" zoomScale="110" zoomScaleNormal="200" workbookViewId="0">
      <selection activeCell="E23" sqref="E23"/>
    </sheetView>
  </sheetViews>
  <sheetFormatPr baseColWidth="10" defaultColWidth="8.83203125" defaultRowHeight="15" x14ac:dyDescent="0.2"/>
  <cols>
    <col min="1" max="1" width="8.83203125" style="7"/>
    <col min="2" max="5" width="15.83203125" style="19" customWidth="1"/>
    <col min="6" max="7" width="15.83203125" style="49" customWidth="1"/>
    <col min="8" max="8" width="18.6640625" style="49" customWidth="1"/>
    <col min="9" max="9" width="18.6640625" style="11" customWidth="1"/>
    <col min="11" max="11" width="18.6640625" style="19" customWidth="1"/>
    <col min="12" max="13" width="15.83203125" style="38" customWidth="1"/>
    <col min="14" max="14" width="18.6640625" style="38" customWidth="1"/>
    <col min="15" max="15" width="15.83203125" style="11" customWidth="1"/>
    <col min="16" max="17" width="20.1640625" style="19" customWidth="1"/>
    <col min="18" max="18" width="15.83203125" style="19" customWidth="1"/>
    <col min="19" max="19" width="18.6640625" style="19" customWidth="1"/>
    <col min="20" max="20" width="19" style="19" customWidth="1"/>
    <col min="21" max="21" width="18.33203125" style="19" customWidth="1"/>
    <col min="22" max="22" width="17.1640625" style="19" customWidth="1"/>
    <col min="24" max="25" width="18.6640625" style="19" customWidth="1"/>
    <col min="26" max="16384" width="8.83203125" style="7"/>
  </cols>
  <sheetData>
    <row r="1" spans="1:25" x14ac:dyDescent="0.2">
      <c r="I1" s="11" t="s">
        <v>102</v>
      </c>
      <c r="O1" s="11" t="s">
        <v>101</v>
      </c>
    </row>
    <row r="2" spans="1:25" ht="16" x14ac:dyDescent="0.2">
      <c r="B2" s="20" t="s">
        <v>0</v>
      </c>
      <c r="C2" s="20" t="s">
        <v>51</v>
      </c>
      <c r="D2" s="20" t="s">
        <v>60</v>
      </c>
      <c r="E2" s="7" t="s">
        <v>89</v>
      </c>
      <c r="F2" s="50" t="s">
        <v>20</v>
      </c>
      <c r="G2" s="50" t="s">
        <v>22</v>
      </c>
      <c r="H2" s="51" t="s">
        <v>19</v>
      </c>
      <c r="I2" s="8" t="s">
        <v>100</v>
      </c>
      <c r="K2" s="20"/>
      <c r="L2" s="39" t="s">
        <v>88</v>
      </c>
      <c r="M2" s="39" t="s">
        <v>58</v>
      </c>
      <c r="N2" s="38" t="s">
        <v>59</v>
      </c>
      <c r="O2" s="8" t="s">
        <v>100</v>
      </c>
      <c r="P2" s="20"/>
      <c r="Q2" s="20"/>
      <c r="R2" s="20"/>
      <c r="S2" s="20"/>
      <c r="T2" s="20"/>
      <c r="U2" s="20"/>
      <c r="V2" s="20"/>
      <c r="X2" s="20"/>
      <c r="Y2" s="20"/>
    </row>
    <row r="3" spans="1:25" ht="16" x14ac:dyDescent="0.2">
      <c r="B3" s="20"/>
      <c r="C3" s="20"/>
      <c r="D3" s="20"/>
      <c r="E3" s="20"/>
      <c r="F3" s="50"/>
      <c r="G3" s="50"/>
      <c r="H3" s="51"/>
      <c r="I3" s="8" t="s">
        <v>19</v>
      </c>
      <c r="K3" s="20"/>
      <c r="L3" s="39" t="s">
        <v>24</v>
      </c>
      <c r="M3" s="39"/>
      <c r="N3" s="38" t="s">
        <v>24</v>
      </c>
      <c r="O3" s="8" t="s">
        <v>103</v>
      </c>
      <c r="P3" s="20"/>
      <c r="Q3" s="20"/>
      <c r="R3" s="20"/>
      <c r="S3" s="20"/>
      <c r="T3" s="20"/>
      <c r="U3" s="20"/>
      <c r="V3" s="20"/>
      <c r="X3" s="20"/>
      <c r="Y3" s="20"/>
    </row>
    <row r="4" spans="1:25" ht="16" x14ac:dyDescent="0.2">
      <c r="B4" s="20"/>
      <c r="C4" s="20"/>
      <c r="D4" s="20"/>
      <c r="F4" s="50"/>
      <c r="G4" s="50"/>
      <c r="H4" s="51"/>
      <c r="I4" s="8"/>
      <c r="K4" s="20"/>
      <c r="L4" s="39"/>
      <c r="M4" s="39"/>
      <c r="O4" s="8"/>
      <c r="P4" s="20"/>
      <c r="Q4" s="20"/>
      <c r="R4" s="20"/>
      <c r="S4" s="20"/>
      <c r="T4" s="20"/>
      <c r="U4" s="20"/>
      <c r="V4" s="20"/>
      <c r="X4" s="20"/>
      <c r="Y4" s="20"/>
    </row>
    <row r="5" spans="1:25" ht="16" x14ac:dyDescent="0.2">
      <c r="A5" s="7" t="s">
        <v>48</v>
      </c>
      <c r="B5" s="20" t="s">
        <v>7</v>
      </c>
      <c r="C5" s="20" t="s">
        <v>61</v>
      </c>
      <c r="D5" s="20">
        <v>12</v>
      </c>
      <c r="E5" s="7" t="s">
        <v>97</v>
      </c>
      <c r="F5" s="51">
        <v>2.34</v>
      </c>
      <c r="G5" s="51">
        <v>2.89</v>
      </c>
      <c r="H5" s="52">
        <f t="shared" ref="H5:H13" si="0">G5/F5</f>
        <v>1.2350427350427351</v>
      </c>
      <c r="I5" s="9">
        <v>1.2327586206896552</v>
      </c>
      <c r="J5" s="7"/>
      <c r="K5" s="21" t="s">
        <v>50</v>
      </c>
      <c r="L5" s="40">
        <v>2.65</v>
      </c>
      <c r="M5" s="1">
        <v>0.79800000000000004</v>
      </c>
      <c r="N5" s="41">
        <f t="shared" ref="N5:N13" si="1">ABS(M5/L5)</f>
        <v>0.30113207547169812</v>
      </c>
      <c r="O5" s="8">
        <v>0.28297872340425534</v>
      </c>
      <c r="P5" s="21"/>
      <c r="Q5" s="20"/>
      <c r="R5" s="20"/>
      <c r="S5" s="20"/>
      <c r="T5" s="20"/>
      <c r="U5" s="20"/>
      <c r="V5" s="20"/>
      <c r="W5" s="7"/>
      <c r="X5" s="20"/>
      <c r="Y5" s="20"/>
    </row>
    <row r="6" spans="1:25" ht="16" x14ac:dyDescent="0.2">
      <c r="A6" s="7" t="s">
        <v>49</v>
      </c>
      <c r="B6" s="20" t="s">
        <v>8</v>
      </c>
      <c r="C6" s="7" t="s">
        <v>61</v>
      </c>
      <c r="D6" s="20">
        <v>12</v>
      </c>
      <c r="E6" s="7" t="s">
        <v>97</v>
      </c>
      <c r="F6" s="51">
        <v>2.42</v>
      </c>
      <c r="G6" s="51">
        <v>2.9</v>
      </c>
      <c r="H6" s="52">
        <f t="shared" si="0"/>
        <v>1.1983471074380165</v>
      </c>
      <c r="I6" s="9">
        <v>1.2058823529411766</v>
      </c>
      <c r="J6" s="7"/>
      <c r="K6" s="21"/>
      <c r="L6" s="40">
        <v>2.5099999999999998</v>
      </c>
      <c r="M6" s="1">
        <v>0.79800000000000004</v>
      </c>
      <c r="N6" s="41">
        <f t="shared" si="1"/>
        <v>0.31792828685258967</v>
      </c>
      <c r="O6" s="8">
        <v>0.30113207547169812</v>
      </c>
      <c r="P6" s="21"/>
      <c r="Q6" s="20"/>
      <c r="R6" s="20"/>
      <c r="S6" s="20"/>
      <c r="T6" s="20"/>
      <c r="U6" s="20"/>
      <c r="V6" s="20"/>
      <c r="W6" s="7"/>
      <c r="X6" s="20"/>
      <c r="Y6" s="20"/>
    </row>
    <row r="7" spans="1:25" ht="16" x14ac:dyDescent="0.2">
      <c r="B7" s="20" t="s">
        <v>9</v>
      </c>
      <c r="C7" s="20" t="s">
        <v>61</v>
      </c>
      <c r="D7" s="20">
        <v>12</v>
      </c>
      <c r="E7" s="7" t="s">
        <v>97</v>
      </c>
      <c r="F7" s="51">
        <v>2.31</v>
      </c>
      <c r="G7" s="51">
        <v>2.81</v>
      </c>
      <c r="H7" s="52">
        <f t="shared" si="0"/>
        <v>1.2164502164502164</v>
      </c>
      <c r="I7" s="9">
        <v>1.2155172413793103</v>
      </c>
      <c r="J7" s="7"/>
      <c r="K7" s="21"/>
      <c r="L7" s="40">
        <v>2.69</v>
      </c>
      <c r="M7" s="1">
        <v>0.77700000000000002</v>
      </c>
      <c r="N7" s="41">
        <f t="shared" si="1"/>
        <v>0.28884758364312269</v>
      </c>
      <c r="O7" s="8">
        <v>0.28884758364312269</v>
      </c>
      <c r="P7" s="21"/>
      <c r="Q7" s="20"/>
      <c r="R7" s="20"/>
      <c r="S7" s="20"/>
      <c r="T7" s="20"/>
      <c r="U7" s="20"/>
      <c r="V7" s="20"/>
      <c r="W7" s="7"/>
      <c r="X7" s="20"/>
      <c r="Y7" s="20"/>
    </row>
    <row r="8" spans="1:25" x14ac:dyDescent="0.2">
      <c r="B8" s="7" t="s">
        <v>29</v>
      </c>
      <c r="C8" s="7" t="s">
        <v>62</v>
      </c>
      <c r="D8" s="7">
        <v>10</v>
      </c>
      <c r="E8" s="7" t="s">
        <v>97</v>
      </c>
      <c r="F8" s="53">
        <v>2.1800000000000002</v>
      </c>
      <c r="G8" s="53">
        <v>2.7</v>
      </c>
      <c r="H8" s="54">
        <f t="shared" si="0"/>
        <v>1.238532110091743</v>
      </c>
      <c r="I8" s="10">
        <v>1.238532110091743</v>
      </c>
      <c r="J8" s="7"/>
      <c r="K8" s="23"/>
      <c r="L8" s="1">
        <v>2.65</v>
      </c>
      <c r="M8" s="1">
        <v>0.78750000000000009</v>
      </c>
      <c r="N8" s="6">
        <f t="shared" si="1"/>
        <v>0.29716981132075476</v>
      </c>
      <c r="O8" s="17">
        <v>0.27826855123674915</v>
      </c>
      <c r="P8" s="24"/>
      <c r="R8" s="7"/>
      <c r="S8" s="7"/>
      <c r="T8" s="7"/>
      <c r="W8" s="7"/>
      <c r="X8" s="7"/>
      <c r="Y8" s="7"/>
    </row>
    <row r="9" spans="1:25" x14ac:dyDescent="0.2">
      <c r="B9" s="7" t="s">
        <v>30</v>
      </c>
      <c r="C9" s="7" t="s">
        <v>62</v>
      </c>
      <c r="D9" s="7">
        <v>10</v>
      </c>
      <c r="E9" s="7" t="s">
        <v>97</v>
      </c>
      <c r="F9" s="53">
        <v>2.44</v>
      </c>
      <c r="G9" s="53">
        <v>2.98</v>
      </c>
      <c r="H9" s="54">
        <f t="shared" si="0"/>
        <v>1.221311475409836</v>
      </c>
      <c r="I9" s="10">
        <v>1.2203389830508475</v>
      </c>
      <c r="J9" s="7"/>
      <c r="K9" s="23"/>
      <c r="L9" s="1">
        <v>2.72</v>
      </c>
      <c r="M9" s="1">
        <v>0.8610000000000001</v>
      </c>
      <c r="N9" s="6">
        <f t="shared" si="1"/>
        <v>0.31654411764705886</v>
      </c>
      <c r="O9" s="17">
        <v>0.29587628865979382</v>
      </c>
      <c r="P9" s="24"/>
      <c r="R9" s="7"/>
      <c r="S9" s="7"/>
      <c r="T9" s="7"/>
      <c r="W9" s="7"/>
      <c r="X9" s="7"/>
      <c r="Y9" s="7"/>
    </row>
    <row r="10" spans="1:25" x14ac:dyDescent="0.2">
      <c r="B10" s="7" t="s">
        <v>31</v>
      </c>
      <c r="C10" s="7" t="s">
        <v>62</v>
      </c>
      <c r="D10" s="7">
        <v>12</v>
      </c>
      <c r="E10" s="7" t="s">
        <v>97</v>
      </c>
      <c r="F10" s="53">
        <v>2.41</v>
      </c>
      <c r="G10" s="53">
        <v>2.75</v>
      </c>
      <c r="H10" s="54">
        <f t="shared" si="0"/>
        <v>1.1410788381742738</v>
      </c>
      <c r="I10" s="10">
        <v>1.21900826446281</v>
      </c>
      <c r="J10" s="7"/>
      <c r="K10" s="23"/>
      <c r="L10" s="1">
        <v>2.76</v>
      </c>
      <c r="M10" s="1">
        <v>0.87150000000000005</v>
      </c>
      <c r="N10" s="6">
        <f t="shared" si="1"/>
        <v>0.31576086956521743</v>
      </c>
      <c r="O10" s="17">
        <v>0.30578947368421056</v>
      </c>
      <c r="P10" s="24"/>
      <c r="R10" s="7"/>
      <c r="S10" s="7"/>
      <c r="T10" s="7"/>
      <c r="W10" s="7"/>
      <c r="X10" s="7"/>
      <c r="Y10" s="7"/>
    </row>
    <row r="11" spans="1:25" x14ac:dyDescent="0.2">
      <c r="B11" s="7" t="s">
        <v>32</v>
      </c>
      <c r="C11" s="7" t="s">
        <v>61</v>
      </c>
      <c r="D11" s="7">
        <v>12</v>
      </c>
      <c r="E11" s="7" t="s">
        <v>97</v>
      </c>
      <c r="F11" s="53">
        <v>2.41</v>
      </c>
      <c r="G11" s="53">
        <v>2.84</v>
      </c>
      <c r="H11" s="54">
        <f t="shared" si="0"/>
        <v>1.1784232365145226</v>
      </c>
      <c r="I11" s="10">
        <v>1.2382978723404257</v>
      </c>
      <c r="J11" s="7"/>
      <c r="K11" s="23"/>
      <c r="L11" s="1">
        <v>2.8</v>
      </c>
      <c r="M11" s="1">
        <v>0.85050000000000003</v>
      </c>
      <c r="N11" s="6">
        <f t="shared" si="1"/>
        <v>0.30375000000000002</v>
      </c>
      <c r="O11" s="17">
        <v>0.31040145985401457</v>
      </c>
      <c r="P11" s="24"/>
      <c r="R11" s="7"/>
      <c r="S11" s="7"/>
      <c r="T11" s="7"/>
      <c r="W11" s="7"/>
      <c r="X11" s="7"/>
      <c r="Y11" s="7"/>
    </row>
    <row r="12" spans="1:25" x14ac:dyDescent="0.2">
      <c r="B12" s="7" t="s">
        <v>33</v>
      </c>
      <c r="C12" s="7" t="s">
        <v>61</v>
      </c>
      <c r="D12" s="7">
        <v>12</v>
      </c>
      <c r="E12" s="7" t="s">
        <v>97</v>
      </c>
      <c r="F12" s="53">
        <v>2.4900000000000002</v>
      </c>
      <c r="G12" s="53">
        <v>2.78</v>
      </c>
      <c r="H12" s="54">
        <f t="shared" si="0"/>
        <v>1.1164658634538152</v>
      </c>
      <c r="I12" s="10">
        <v>1.1800000000000002</v>
      </c>
      <c r="J12" s="7"/>
      <c r="K12" s="23"/>
      <c r="L12" s="1">
        <v>2.81</v>
      </c>
      <c r="M12" s="1">
        <v>0.8610000000000001</v>
      </c>
      <c r="N12" s="6">
        <f t="shared" si="1"/>
        <v>0.30640569395017797</v>
      </c>
      <c r="O12" s="17">
        <v>0.31654411764705886</v>
      </c>
      <c r="P12" s="24"/>
      <c r="R12" s="7"/>
      <c r="S12" s="7"/>
      <c r="T12" s="7"/>
      <c r="W12" s="7"/>
      <c r="X12" s="7"/>
      <c r="Y12" s="7"/>
    </row>
    <row r="13" spans="1:25" x14ac:dyDescent="0.2">
      <c r="B13" s="7" t="s">
        <v>34</v>
      </c>
      <c r="C13" s="7" t="s">
        <v>61</v>
      </c>
      <c r="D13" s="7">
        <v>12</v>
      </c>
      <c r="E13" s="7" t="s">
        <v>97</v>
      </c>
      <c r="F13" s="53">
        <v>2.31</v>
      </c>
      <c r="G13" s="53">
        <v>2.73</v>
      </c>
      <c r="H13" s="54">
        <f t="shared" si="0"/>
        <v>1.1818181818181819</v>
      </c>
      <c r="I13" s="10">
        <v>1.2109704641350212</v>
      </c>
      <c r="J13" s="7"/>
      <c r="K13" s="23"/>
      <c r="L13" s="1">
        <v>2.8</v>
      </c>
      <c r="M13" s="1">
        <v>0.81900000000000006</v>
      </c>
      <c r="N13" s="6">
        <f t="shared" si="1"/>
        <v>0.29250000000000004</v>
      </c>
      <c r="O13" s="17">
        <v>0.3174418604651163</v>
      </c>
      <c r="P13" s="24"/>
      <c r="R13" s="7"/>
      <c r="S13" s="7"/>
      <c r="T13" s="7"/>
      <c r="W13" s="7"/>
      <c r="X13" s="7"/>
      <c r="Y13" s="7"/>
    </row>
    <row r="14" spans="1:25" ht="16" customHeight="1" x14ac:dyDescent="0.2">
      <c r="E14" s="7"/>
      <c r="W14" s="7"/>
    </row>
    <row r="15" spans="1:25" x14ac:dyDescent="0.2">
      <c r="F15" s="55"/>
      <c r="G15" s="55"/>
      <c r="H15" s="55"/>
      <c r="I15" s="33"/>
      <c r="K15" s="25"/>
      <c r="L15" s="42"/>
      <c r="M15" s="42"/>
      <c r="N15" s="42"/>
      <c r="W15" s="7"/>
    </row>
    <row r="16" spans="1:25" x14ac:dyDescent="0.2">
      <c r="F16" s="55"/>
      <c r="G16" s="55"/>
      <c r="H16" s="55"/>
      <c r="I16" s="33"/>
      <c r="K16" s="25"/>
      <c r="L16" s="42"/>
      <c r="M16" s="42"/>
      <c r="N16" s="42"/>
      <c r="W16" s="7"/>
    </row>
    <row r="18" spans="1:27" ht="16" x14ac:dyDescent="0.2">
      <c r="A18" s="7" t="s">
        <v>48</v>
      </c>
      <c r="B18" s="20" t="s">
        <v>0</v>
      </c>
      <c r="C18" s="20"/>
      <c r="D18" s="20"/>
      <c r="E18" s="7"/>
      <c r="F18" s="56" t="s">
        <v>20</v>
      </c>
      <c r="G18" s="51" t="s">
        <v>26</v>
      </c>
      <c r="H18" s="49" t="s">
        <v>19</v>
      </c>
      <c r="I18" s="11" t="s">
        <v>19</v>
      </c>
      <c r="J18" s="7"/>
      <c r="K18" s="7" t="s">
        <v>89</v>
      </c>
      <c r="L18" s="39" t="s">
        <v>35</v>
      </c>
      <c r="M18" s="39" t="s">
        <v>28</v>
      </c>
      <c r="N18" s="39" t="s">
        <v>27</v>
      </c>
      <c r="O18" s="8"/>
      <c r="P18" s="20"/>
      <c r="Q18" s="15"/>
      <c r="R18" s="20"/>
      <c r="S18" s="7"/>
      <c r="T18" s="20"/>
      <c r="U18" s="7"/>
      <c r="V18" s="7"/>
      <c r="W18" s="7"/>
      <c r="X18" s="26"/>
      <c r="Y18" s="26"/>
      <c r="Z18" s="26"/>
      <c r="AA18" s="26"/>
    </row>
    <row r="19" spans="1:27" x14ac:dyDescent="0.2">
      <c r="A19" s="7" t="s">
        <v>90</v>
      </c>
      <c r="B19" s="7" t="s">
        <v>36</v>
      </c>
      <c r="C19" s="7" t="s">
        <v>62</v>
      </c>
      <c r="D19" s="7">
        <v>10</v>
      </c>
      <c r="E19" s="7" t="s">
        <v>98</v>
      </c>
      <c r="F19" s="53">
        <v>2.39</v>
      </c>
      <c r="G19" s="53">
        <v>3.27</v>
      </c>
      <c r="H19" s="54">
        <f t="shared" ref="H19:H24" si="2">G19/F19</f>
        <v>1.3682008368200835</v>
      </c>
      <c r="I19" s="10">
        <v>1.3416666666666668</v>
      </c>
      <c r="J19" s="7"/>
      <c r="K19" s="7" t="s">
        <v>84</v>
      </c>
      <c r="L19" s="1">
        <v>3.21</v>
      </c>
      <c r="M19" s="1">
        <v>0.78750000000000009</v>
      </c>
      <c r="N19" s="6">
        <f t="shared" ref="N19:N24" si="3">ABS(M19/L19)</f>
        <v>0.24532710280373834</v>
      </c>
      <c r="O19" s="17">
        <v>0.27728873239436624</v>
      </c>
      <c r="P19" s="24"/>
      <c r="Q19" s="7"/>
      <c r="R19" s="7"/>
      <c r="S19" s="7"/>
      <c r="T19" s="7"/>
      <c r="U19" s="7"/>
      <c r="V19" s="7"/>
      <c r="W19" s="7"/>
      <c r="X19" s="7"/>
      <c r="Y19" s="7"/>
    </row>
    <row r="20" spans="1:27" x14ac:dyDescent="0.2">
      <c r="B20" s="7" t="s">
        <v>37</v>
      </c>
      <c r="C20" s="7" t="s">
        <v>62</v>
      </c>
      <c r="D20" s="7">
        <v>10</v>
      </c>
      <c r="E20" s="7" t="s">
        <v>98</v>
      </c>
      <c r="F20" s="53">
        <v>2.34</v>
      </c>
      <c r="G20" s="53">
        <v>3.25</v>
      </c>
      <c r="H20" s="54">
        <f t="shared" si="2"/>
        <v>1.3888888888888891</v>
      </c>
      <c r="I20" s="10">
        <v>1.3404255319148934</v>
      </c>
      <c r="J20" s="7"/>
      <c r="K20" s="7"/>
      <c r="L20" s="1">
        <v>3.02</v>
      </c>
      <c r="M20" s="1">
        <v>0.85050000000000003</v>
      </c>
      <c r="N20" s="6">
        <f t="shared" si="3"/>
        <v>0.28162251655629139</v>
      </c>
      <c r="O20" s="17">
        <v>0.30703971119133577</v>
      </c>
      <c r="P20" s="24"/>
      <c r="Q20" s="7"/>
      <c r="R20" s="7"/>
      <c r="S20" s="7"/>
      <c r="T20" s="7"/>
      <c r="U20" s="7"/>
      <c r="V20" s="7"/>
      <c r="W20" s="7"/>
      <c r="X20" s="7"/>
      <c r="Y20" s="7"/>
    </row>
    <row r="21" spans="1:27" x14ac:dyDescent="0.2">
      <c r="B21" s="7" t="s">
        <v>38</v>
      </c>
      <c r="C21" s="7" t="s">
        <v>62</v>
      </c>
      <c r="D21" s="7">
        <v>12</v>
      </c>
      <c r="E21" s="7" t="s">
        <v>98</v>
      </c>
      <c r="F21" s="53">
        <v>2.5299999999999998</v>
      </c>
      <c r="G21" s="53">
        <v>3.42</v>
      </c>
      <c r="H21" s="54">
        <f t="shared" si="2"/>
        <v>1.3517786561264822</v>
      </c>
      <c r="I21" s="10">
        <v>1.4472573839662448</v>
      </c>
      <c r="J21" s="7"/>
      <c r="K21" s="7"/>
      <c r="L21" s="1">
        <v>3.05</v>
      </c>
      <c r="M21" s="1">
        <v>0.69300000000000006</v>
      </c>
      <c r="N21" s="6">
        <f t="shared" si="3"/>
        <v>0.22721311475409839</v>
      </c>
      <c r="O21" s="17">
        <v>0.25384615384615389</v>
      </c>
      <c r="P21" s="24"/>
      <c r="Q21" s="7"/>
      <c r="R21" s="7"/>
      <c r="S21" s="7"/>
      <c r="T21" s="7"/>
      <c r="U21" s="7"/>
      <c r="V21" s="7"/>
      <c r="W21" s="7"/>
      <c r="X21" s="7"/>
      <c r="Y21" s="7"/>
    </row>
    <row r="22" spans="1:27" x14ac:dyDescent="0.2">
      <c r="B22" s="7" t="s">
        <v>39</v>
      </c>
      <c r="C22" s="7" t="s">
        <v>61</v>
      </c>
      <c r="D22" s="7">
        <v>12</v>
      </c>
      <c r="E22" s="7" t="s">
        <v>98</v>
      </c>
      <c r="F22" s="53">
        <v>2.38</v>
      </c>
      <c r="G22" s="53">
        <v>3.2</v>
      </c>
      <c r="H22" s="54">
        <f t="shared" si="2"/>
        <v>1.3445378151260505</v>
      </c>
      <c r="I22" s="10">
        <v>1.3416666666666668</v>
      </c>
      <c r="J22" s="7"/>
      <c r="K22" s="7"/>
      <c r="L22" s="1">
        <v>2.89</v>
      </c>
      <c r="M22" s="1">
        <v>0.78750000000000009</v>
      </c>
      <c r="N22" s="6">
        <f t="shared" si="3"/>
        <v>0.27249134948096887</v>
      </c>
      <c r="O22" s="17">
        <v>0.26250000000000001</v>
      </c>
      <c r="P22" s="24"/>
      <c r="Q22" s="7"/>
      <c r="R22" s="7"/>
      <c r="S22" s="7"/>
      <c r="T22" s="7"/>
      <c r="U22" s="7"/>
      <c r="V22" s="7"/>
      <c r="W22" s="7"/>
      <c r="X22" s="7"/>
      <c r="Y22" s="7"/>
    </row>
    <row r="23" spans="1:27" x14ac:dyDescent="0.2">
      <c r="B23" s="7" t="s">
        <v>40</v>
      </c>
      <c r="C23" s="7" t="s">
        <v>61</v>
      </c>
      <c r="D23" s="7">
        <v>12</v>
      </c>
      <c r="E23" s="7" t="s">
        <v>98</v>
      </c>
      <c r="F23" s="53">
        <v>2.44</v>
      </c>
      <c r="G23" s="53">
        <v>3.12</v>
      </c>
      <c r="H23" s="54">
        <f t="shared" si="2"/>
        <v>1.278688524590164</v>
      </c>
      <c r="I23" s="10">
        <v>1.36144578313253</v>
      </c>
      <c r="J23" s="7"/>
      <c r="K23" s="7"/>
      <c r="L23" s="1">
        <v>2.98</v>
      </c>
      <c r="M23" s="1">
        <v>0.69300000000000006</v>
      </c>
      <c r="N23" s="6">
        <f t="shared" si="3"/>
        <v>0.23255033557046981</v>
      </c>
      <c r="O23" s="17">
        <v>0.24230769230769234</v>
      </c>
      <c r="P23" s="24"/>
      <c r="Q23" s="7"/>
      <c r="R23" s="7"/>
      <c r="S23" s="7"/>
      <c r="T23" s="7"/>
      <c r="U23" s="7"/>
      <c r="V23" s="7"/>
      <c r="W23" s="7"/>
      <c r="X23" s="7"/>
      <c r="Y23" s="7"/>
    </row>
    <row r="24" spans="1:27" x14ac:dyDescent="0.2">
      <c r="B24" s="7" t="s">
        <v>41</v>
      </c>
      <c r="C24" s="7" t="s">
        <v>61</v>
      </c>
      <c r="D24" s="7">
        <v>12</v>
      </c>
      <c r="E24" s="7" t="s">
        <v>98</v>
      </c>
      <c r="F24" s="53">
        <v>2.38</v>
      </c>
      <c r="G24" s="53">
        <v>2.98</v>
      </c>
      <c r="H24" s="54">
        <f t="shared" si="2"/>
        <v>1.2521008403361344</v>
      </c>
      <c r="I24" s="10">
        <v>1.3130434782608698</v>
      </c>
      <c r="J24" s="7"/>
      <c r="K24" s="7"/>
      <c r="L24" s="1">
        <v>3.03</v>
      </c>
      <c r="M24" s="1">
        <v>0.78750000000000009</v>
      </c>
      <c r="N24" s="6">
        <f t="shared" si="3"/>
        <v>0.25990099009900997</v>
      </c>
      <c r="O24" s="17">
        <v>0.26250000000000001</v>
      </c>
      <c r="P24" s="24"/>
      <c r="Q24" s="7"/>
      <c r="R24" s="7"/>
      <c r="S24" s="7"/>
      <c r="T24" s="7"/>
      <c r="U24" s="7"/>
      <c r="V24" s="7"/>
      <c r="W24" s="7"/>
      <c r="X24" s="7"/>
      <c r="Y24" s="7"/>
    </row>
    <row r="25" spans="1:27" x14ac:dyDescent="0.2">
      <c r="B25" s="7"/>
      <c r="C25" s="7"/>
      <c r="D25" s="7"/>
      <c r="E25" s="7"/>
      <c r="F25" s="53"/>
      <c r="G25" s="53"/>
      <c r="H25" s="54"/>
      <c r="I25" s="10"/>
      <c r="K25" s="7"/>
      <c r="L25" s="1"/>
      <c r="M25" s="1"/>
      <c r="N25" s="6"/>
      <c r="O25" s="17"/>
      <c r="P25" s="24"/>
      <c r="Q25" s="7"/>
      <c r="R25" s="7"/>
      <c r="S25" s="7"/>
      <c r="T25" s="7"/>
      <c r="U25" s="7"/>
      <c r="V25" s="7"/>
      <c r="W25" s="7"/>
      <c r="X25" s="7"/>
      <c r="Y25" s="7"/>
    </row>
    <row r="26" spans="1:27" x14ac:dyDescent="0.2">
      <c r="B26" s="7"/>
      <c r="C26" s="7"/>
      <c r="D26" s="7"/>
      <c r="F26" s="57"/>
      <c r="G26" s="57"/>
      <c r="H26" s="57"/>
      <c r="I26" s="34"/>
      <c r="K26" s="27"/>
      <c r="L26" s="43"/>
      <c r="M26" s="43"/>
      <c r="N26" s="43"/>
      <c r="O26" s="17"/>
      <c r="P26" s="24"/>
      <c r="Q26" s="7"/>
      <c r="R26" s="7"/>
      <c r="S26" s="7"/>
      <c r="T26" s="7"/>
      <c r="U26" s="7"/>
      <c r="V26" s="7"/>
      <c r="W26" s="7"/>
      <c r="X26" s="7"/>
      <c r="Y26" s="7"/>
    </row>
    <row r="27" spans="1:27" x14ac:dyDescent="0.2">
      <c r="B27" s="7"/>
      <c r="C27" s="7"/>
      <c r="D27" s="7"/>
      <c r="F27" s="57"/>
      <c r="G27" s="57"/>
      <c r="H27" s="57"/>
      <c r="I27" s="34"/>
      <c r="K27" s="27"/>
      <c r="L27" s="43"/>
      <c r="M27" s="43"/>
      <c r="N27" s="43"/>
      <c r="O27" s="17"/>
      <c r="P27" s="24"/>
      <c r="Q27" s="7"/>
      <c r="R27" s="7"/>
      <c r="S27" s="7"/>
      <c r="T27" s="7"/>
      <c r="U27" s="7"/>
      <c r="V27" s="7"/>
      <c r="W27" s="7"/>
      <c r="X27" s="7"/>
      <c r="Y27" s="7"/>
    </row>
    <row r="28" spans="1:27" x14ac:dyDescent="0.2">
      <c r="W28" s="7"/>
    </row>
    <row r="31" spans="1:27" ht="16" x14ac:dyDescent="0.2">
      <c r="B31" s="20" t="s">
        <v>0</v>
      </c>
      <c r="C31" s="20"/>
      <c r="D31" s="20"/>
      <c r="E31" s="7"/>
      <c r="F31" s="50" t="s">
        <v>20</v>
      </c>
      <c r="G31" s="50" t="s">
        <v>22</v>
      </c>
      <c r="H31" s="51" t="s">
        <v>19</v>
      </c>
      <c r="I31" s="8" t="s">
        <v>19</v>
      </c>
      <c r="J31" s="7"/>
      <c r="K31" s="20" t="s">
        <v>89</v>
      </c>
      <c r="L31" s="39" t="s">
        <v>23</v>
      </c>
      <c r="M31" s="39" t="s">
        <v>21</v>
      </c>
      <c r="N31" s="38" t="s">
        <v>25</v>
      </c>
      <c r="O31" s="8"/>
      <c r="P31" s="20"/>
      <c r="Q31" s="20"/>
      <c r="R31" s="20"/>
      <c r="S31" s="20"/>
      <c r="T31" s="20"/>
      <c r="U31" s="20"/>
      <c r="V31" s="20"/>
      <c r="W31" s="7"/>
      <c r="X31" s="20"/>
      <c r="Y31" s="20"/>
    </row>
    <row r="32" spans="1:27" ht="16" x14ac:dyDescent="0.2">
      <c r="A32" s="7" t="s">
        <v>48</v>
      </c>
      <c r="B32" s="20" t="s">
        <v>1</v>
      </c>
      <c r="C32" s="20" t="s">
        <v>61</v>
      </c>
      <c r="D32" s="20">
        <v>12</v>
      </c>
      <c r="E32" s="7" t="s">
        <v>99</v>
      </c>
      <c r="F32" s="51">
        <v>2.29</v>
      </c>
      <c r="G32" s="51">
        <v>3.48</v>
      </c>
      <c r="H32" s="52">
        <f t="shared" ref="H32:H38" si="4">G32/F32</f>
        <v>1.5196506550218341</v>
      </c>
      <c r="I32" s="9">
        <v>1.4040816326530612</v>
      </c>
      <c r="J32" s="7"/>
      <c r="K32" s="21" t="s">
        <v>85</v>
      </c>
      <c r="L32" s="40">
        <v>2.95</v>
      </c>
      <c r="M32" s="1">
        <v>0.74550000000000005</v>
      </c>
      <c r="N32" s="41">
        <f t="shared" ref="N32:N38" si="5">ABS(M32/L32)</f>
        <v>0.25271186440677967</v>
      </c>
      <c r="O32" s="8">
        <v>0.23152173913043478</v>
      </c>
      <c r="P32" s="28"/>
      <c r="Q32" s="20"/>
      <c r="R32" s="28"/>
      <c r="S32" s="20"/>
      <c r="T32" s="20"/>
      <c r="U32" s="20"/>
      <c r="V32" s="20"/>
      <c r="W32" s="7"/>
      <c r="X32" s="20"/>
      <c r="Y32" s="20"/>
    </row>
    <row r="33" spans="1:25" ht="16" x14ac:dyDescent="0.2">
      <c r="A33" s="7" t="s">
        <v>91</v>
      </c>
      <c r="B33" s="20" t="s">
        <v>2</v>
      </c>
      <c r="C33" s="7" t="s">
        <v>61</v>
      </c>
      <c r="D33" s="20">
        <v>12</v>
      </c>
      <c r="E33" s="7" t="s">
        <v>99</v>
      </c>
      <c r="F33" s="51">
        <v>2.2999999999999998</v>
      </c>
      <c r="G33" s="51">
        <v>3.14</v>
      </c>
      <c r="H33" s="52">
        <f t="shared" si="4"/>
        <v>1.3652173913043479</v>
      </c>
      <c r="I33" s="9">
        <v>1.3881856540084387</v>
      </c>
      <c r="J33" s="7"/>
      <c r="K33" s="21"/>
      <c r="L33" s="40">
        <v>2.83</v>
      </c>
      <c r="M33" s="1">
        <v>0.6825</v>
      </c>
      <c r="N33" s="41">
        <f t="shared" si="5"/>
        <v>0.24116607773851589</v>
      </c>
      <c r="O33" s="8">
        <v>0.23780487804878048</v>
      </c>
      <c r="P33" s="28"/>
      <c r="Q33" s="20"/>
      <c r="R33" s="28"/>
      <c r="S33" s="20"/>
      <c r="T33" s="20"/>
      <c r="U33" s="20"/>
      <c r="V33" s="20"/>
      <c r="W33" s="7"/>
      <c r="X33" s="20"/>
      <c r="Y33" s="7"/>
    </row>
    <row r="34" spans="1:25" ht="16" x14ac:dyDescent="0.2">
      <c r="B34" s="20" t="s">
        <v>3</v>
      </c>
      <c r="C34" s="20" t="s">
        <v>61</v>
      </c>
      <c r="D34" s="20">
        <v>12</v>
      </c>
      <c r="E34" s="7" t="s">
        <v>99</v>
      </c>
      <c r="F34" s="51">
        <v>2.3199999999999998</v>
      </c>
      <c r="G34" s="51">
        <v>3.21</v>
      </c>
      <c r="H34" s="52">
        <f t="shared" si="4"/>
        <v>1.3836206896551726</v>
      </c>
      <c r="I34" s="9">
        <v>1.3948497854077253</v>
      </c>
      <c r="J34" s="7"/>
      <c r="K34" s="21"/>
      <c r="L34" s="40">
        <v>2.87</v>
      </c>
      <c r="M34" s="1">
        <v>0.70350000000000001</v>
      </c>
      <c r="N34" s="41">
        <f t="shared" si="5"/>
        <v>0.24512195121951219</v>
      </c>
      <c r="O34" s="8">
        <v>0.24512195121951219</v>
      </c>
      <c r="P34" s="28"/>
      <c r="Q34" s="20"/>
      <c r="R34" s="28"/>
      <c r="S34" s="20"/>
      <c r="T34" s="20"/>
      <c r="U34" s="20"/>
      <c r="V34" s="20"/>
      <c r="W34" s="7"/>
      <c r="X34" s="20"/>
      <c r="Y34" s="7"/>
    </row>
    <row r="35" spans="1:25" ht="16" x14ac:dyDescent="0.2">
      <c r="B35" s="20" t="s">
        <v>4</v>
      </c>
      <c r="C35" s="20" t="s">
        <v>61</v>
      </c>
      <c r="D35" s="20">
        <v>12</v>
      </c>
      <c r="E35" s="7" t="s">
        <v>99</v>
      </c>
      <c r="F35" s="51">
        <v>2.2599999999999998</v>
      </c>
      <c r="G35" s="51">
        <v>3.13</v>
      </c>
      <c r="H35" s="52">
        <f t="shared" si="4"/>
        <v>1.3849557522123894</v>
      </c>
      <c r="I35" s="9">
        <v>1.4454545454545453</v>
      </c>
      <c r="J35" s="7"/>
      <c r="K35" s="21"/>
      <c r="L35" s="40">
        <v>2.85</v>
      </c>
      <c r="M35" s="1">
        <v>0.71400000000000008</v>
      </c>
      <c r="N35" s="41">
        <f t="shared" si="5"/>
        <v>0.25052631578947371</v>
      </c>
      <c r="O35" s="8">
        <v>0.25052631578947371</v>
      </c>
      <c r="P35" s="28"/>
      <c r="Q35" s="20"/>
      <c r="R35" s="28"/>
      <c r="S35" s="20"/>
      <c r="T35" s="20"/>
      <c r="U35" s="20"/>
      <c r="V35" s="20"/>
      <c r="W35" s="7"/>
      <c r="X35" s="20"/>
      <c r="Y35" s="20"/>
    </row>
    <row r="36" spans="1:25" ht="16" x14ac:dyDescent="0.2">
      <c r="B36" s="20" t="s">
        <v>5</v>
      </c>
      <c r="C36" s="20" t="s">
        <v>61</v>
      </c>
      <c r="D36" s="20">
        <v>12</v>
      </c>
      <c r="E36" s="7" t="s">
        <v>99</v>
      </c>
      <c r="F36" s="51">
        <v>2.4900000000000002</v>
      </c>
      <c r="G36" s="51">
        <v>3.49</v>
      </c>
      <c r="H36" s="52">
        <f t="shared" si="4"/>
        <v>1.4016064257028111</v>
      </c>
      <c r="I36" s="9">
        <v>1.3147410358565736</v>
      </c>
      <c r="J36" s="7"/>
      <c r="K36" s="21"/>
      <c r="L36" s="40">
        <v>2.98</v>
      </c>
      <c r="M36" s="1">
        <v>0.81900000000000006</v>
      </c>
      <c r="N36" s="41">
        <f t="shared" si="5"/>
        <v>0.27483221476510067</v>
      </c>
      <c r="O36" s="8">
        <v>0.25917721518987341</v>
      </c>
      <c r="P36" s="28"/>
      <c r="Q36" s="20"/>
      <c r="R36" s="28"/>
      <c r="S36" s="20"/>
      <c r="T36" s="20"/>
      <c r="U36" s="20"/>
      <c r="V36" s="20"/>
      <c r="W36" s="7"/>
      <c r="X36" s="20"/>
      <c r="Y36" s="20"/>
    </row>
    <row r="37" spans="1:25" ht="16" x14ac:dyDescent="0.2">
      <c r="B37" s="20" t="s">
        <v>6</v>
      </c>
      <c r="C37" s="7" t="s">
        <v>61</v>
      </c>
      <c r="D37" s="20">
        <v>12</v>
      </c>
      <c r="E37" s="7" t="s">
        <v>99</v>
      </c>
      <c r="F37" s="51">
        <v>2.38</v>
      </c>
      <c r="G37" s="51">
        <v>3.58</v>
      </c>
      <c r="H37" s="52">
        <f t="shared" si="4"/>
        <v>1.5042016806722691</v>
      </c>
      <c r="I37" s="9">
        <v>1.4471544715447155</v>
      </c>
      <c r="J37" s="7"/>
      <c r="K37" s="21"/>
      <c r="L37" s="40">
        <v>3.27</v>
      </c>
      <c r="M37" s="1">
        <v>0.67200000000000004</v>
      </c>
      <c r="N37" s="41">
        <f t="shared" si="5"/>
        <v>0.20550458715596331</v>
      </c>
      <c r="O37" s="8">
        <v>0.19255014326647565</v>
      </c>
      <c r="P37" s="28"/>
      <c r="Q37" s="20"/>
      <c r="R37" s="28"/>
      <c r="S37" s="20"/>
      <c r="T37" s="20"/>
      <c r="U37" s="20"/>
      <c r="V37" s="20"/>
      <c r="W37" s="7"/>
      <c r="X37" s="20"/>
      <c r="Y37" s="20"/>
    </row>
    <row r="38" spans="1:25" ht="16" x14ac:dyDescent="0.2">
      <c r="B38" s="20" t="s">
        <v>13</v>
      </c>
      <c r="C38" s="20" t="s">
        <v>61</v>
      </c>
      <c r="D38" s="20">
        <v>12</v>
      </c>
      <c r="E38" s="7" t="s">
        <v>99</v>
      </c>
      <c r="F38" s="51">
        <v>2.4900000000000002</v>
      </c>
      <c r="G38" s="51">
        <v>3.52</v>
      </c>
      <c r="H38" s="52">
        <f t="shared" si="4"/>
        <v>1.4136546184738954</v>
      </c>
      <c r="I38" s="9">
        <v>1.3759999999999999</v>
      </c>
      <c r="J38" s="7"/>
      <c r="K38" s="21"/>
      <c r="L38" s="40">
        <v>3.14</v>
      </c>
      <c r="M38" s="1">
        <v>0.67200000000000004</v>
      </c>
      <c r="N38" s="41">
        <f t="shared" si="5"/>
        <v>0.21401273885350319</v>
      </c>
      <c r="O38" s="8">
        <v>0.22032786885245903</v>
      </c>
      <c r="P38" s="28"/>
      <c r="Q38" s="20"/>
      <c r="R38" s="28"/>
      <c r="S38" s="20"/>
      <c r="T38" s="20"/>
      <c r="U38" s="20"/>
      <c r="V38" s="20"/>
      <c r="W38" s="7"/>
      <c r="X38" s="20"/>
      <c r="Y38" s="20"/>
    </row>
    <row r="40" spans="1:25" x14ac:dyDescent="0.2">
      <c r="F40" s="58"/>
      <c r="G40" s="58"/>
      <c r="H40" s="58"/>
      <c r="I40" s="35"/>
      <c r="K40" s="29"/>
      <c r="L40" s="44"/>
      <c r="M40" s="44"/>
      <c r="N40" s="44"/>
    </row>
    <row r="41" spans="1:25" x14ac:dyDescent="0.2">
      <c r="F41" s="58"/>
      <c r="G41" s="58"/>
      <c r="H41" s="58"/>
      <c r="I41" s="35"/>
      <c r="K41" s="29"/>
      <c r="L41" s="44"/>
      <c r="M41" s="44"/>
      <c r="N41" s="44"/>
    </row>
    <row r="44" spans="1:25" x14ac:dyDescent="0.2">
      <c r="E44" s="7"/>
    </row>
    <row r="45" spans="1:25" x14ac:dyDescent="0.2">
      <c r="E45" s="7"/>
    </row>
    <row r="46" spans="1:25" ht="16" x14ac:dyDescent="0.2">
      <c r="B46" s="20" t="s">
        <v>0</v>
      </c>
      <c r="C46" s="20"/>
      <c r="D46" s="20"/>
      <c r="F46" s="50" t="s">
        <v>20</v>
      </c>
      <c r="G46" s="50" t="s">
        <v>22</v>
      </c>
      <c r="H46" s="51" t="s">
        <v>19</v>
      </c>
      <c r="I46" s="9" t="s">
        <v>19</v>
      </c>
      <c r="K46" s="20"/>
      <c r="L46" s="39" t="s">
        <v>88</v>
      </c>
      <c r="M46" s="39" t="s">
        <v>21</v>
      </c>
      <c r="N46" s="38" t="s">
        <v>25</v>
      </c>
      <c r="O46" s="8"/>
      <c r="P46" s="20"/>
      <c r="Q46" s="20"/>
      <c r="R46" s="20"/>
      <c r="S46" s="20"/>
      <c r="T46" s="20"/>
      <c r="U46" s="20"/>
      <c r="V46" s="20"/>
      <c r="X46" s="20"/>
      <c r="Y46" s="20"/>
    </row>
    <row r="47" spans="1:25" ht="16" x14ac:dyDescent="0.2">
      <c r="A47" s="7" t="s">
        <v>92</v>
      </c>
      <c r="B47" s="20" t="s">
        <v>10</v>
      </c>
      <c r="C47" s="20" t="s">
        <v>61</v>
      </c>
      <c r="D47" s="20">
        <v>12</v>
      </c>
      <c r="E47" s="7" t="s">
        <v>97</v>
      </c>
      <c r="F47" s="51">
        <v>2.31</v>
      </c>
      <c r="G47" s="51">
        <v>2.86</v>
      </c>
      <c r="H47" s="52">
        <f>G47/F47</f>
        <v>1.2380952380952379</v>
      </c>
      <c r="I47" s="9">
        <v>1.2133891213389121</v>
      </c>
      <c r="J47" s="7"/>
      <c r="K47" s="21" t="s">
        <v>50</v>
      </c>
      <c r="L47" s="1">
        <v>2.82</v>
      </c>
      <c r="M47" s="1">
        <v>0.85050000000000003</v>
      </c>
      <c r="N47" s="41">
        <f t="shared" ref="N47:N55" si="6">ABS(M47/L47)</f>
        <v>0.3015957446808511</v>
      </c>
      <c r="O47" s="8">
        <v>0.3081521739130435</v>
      </c>
      <c r="P47" s="28"/>
      <c r="Q47" s="20"/>
      <c r="R47" s="20"/>
      <c r="S47" s="20"/>
      <c r="T47" s="20"/>
      <c r="U47" s="20"/>
      <c r="V47" s="20"/>
      <c r="W47" s="7"/>
      <c r="X47" s="20"/>
      <c r="Y47" s="20"/>
    </row>
    <row r="48" spans="1:25" ht="16" x14ac:dyDescent="0.2">
      <c r="A48" s="7" t="s">
        <v>50</v>
      </c>
      <c r="B48" s="20" t="s">
        <v>11</v>
      </c>
      <c r="C48" s="7" t="s">
        <v>61</v>
      </c>
      <c r="D48" s="20">
        <v>12</v>
      </c>
      <c r="E48" s="7" t="s">
        <v>97</v>
      </c>
      <c r="F48" s="51">
        <v>2.29</v>
      </c>
      <c r="G48" s="51">
        <v>2.83</v>
      </c>
      <c r="H48" s="52">
        <f>G48/F48</f>
        <v>1.2358078602620088</v>
      </c>
      <c r="I48" s="9">
        <v>1.2112068965517242</v>
      </c>
      <c r="J48" s="7"/>
      <c r="K48" s="21"/>
      <c r="L48" s="40">
        <v>2.7</v>
      </c>
      <c r="M48" s="1">
        <v>0.90300000000000002</v>
      </c>
      <c r="N48" s="41">
        <f t="shared" si="6"/>
        <v>0.33444444444444443</v>
      </c>
      <c r="O48" s="8">
        <v>0.32021276595744685</v>
      </c>
      <c r="P48" s="28"/>
      <c r="Q48" s="20"/>
      <c r="R48" s="20"/>
      <c r="S48" s="20"/>
      <c r="T48" s="20"/>
      <c r="U48" s="20"/>
      <c r="V48" s="20"/>
      <c r="W48" s="7"/>
      <c r="X48" s="20"/>
      <c r="Y48" s="20"/>
    </row>
    <row r="49" spans="1:25" ht="16" x14ac:dyDescent="0.2">
      <c r="B49" s="20" t="s">
        <v>12</v>
      </c>
      <c r="C49" s="20" t="s">
        <v>61</v>
      </c>
      <c r="D49" s="20">
        <v>12</v>
      </c>
      <c r="E49" s="7" t="s">
        <v>97</v>
      </c>
      <c r="F49" s="51">
        <v>2.44</v>
      </c>
      <c r="G49" s="51">
        <v>3.01</v>
      </c>
      <c r="H49" s="52">
        <f>G49/F49</f>
        <v>1.2336065573770492</v>
      </c>
      <c r="I49" s="12">
        <v>1.2384937238493723</v>
      </c>
      <c r="J49" s="7"/>
      <c r="K49" s="21"/>
      <c r="L49" s="40">
        <v>2.78</v>
      </c>
      <c r="M49" s="1">
        <v>0.8085</v>
      </c>
      <c r="N49" s="41">
        <f t="shared" si="6"/>
        <v>0.2908273381294964</v>
      </c>
      <c r="O49" s="17">
        <v>0.29615384615384616</v>
      </c>
      <c r="P49" s="28"/>
      <c r="Q49" s="20"/>
      <c r="R49" s="20"/>
      <c r="S49" s="20"/>
      <c r="T49" s="20"/>
      <c r="U49" s="20"/>
      <c r="V49" s="20"/>
      <c r="W49" s="7"/>
      <c r="X49" s="20"/>
      <c r="Y49" s="20"/>
    </row>
    <row r="50" spans="1:25" x14ac:dyDescent="0.2">
      <c r="B50" s="7" t="s">
        <v>52</v>
      </c>
      <c r="C50" s="7" t="s">
        <v>61</v>
      </c>
      <c r="D50" s="19">
        <v>11</v>
      </c>
      <c r="E50" s="7" t="s">
        <v>97</v>
      </c>
      <c r="F50" s="53">
        <v>2.39</v>
      </c>
      <c r="G50" s="53">
        <v>2.81</v>
      </c>
      <c r="H50" s="59">
        <f t="shared" ref="H50:H55" si="7">G50/F50</f>
        <v>1.1757322175732217</v>
      </c>
      <c r="I50" s="12">
        <v>1.2179487179487181</v>
      </c>
      <c r="J50" s="7"/>
      <c r="K50" s="25"/>
      <c r="L50" s="1">
        <v>2.74</v>
      </c>
      <c r="M50" s="1">
        <v>0.89250000000000007</v>
      </c>
      <c r="N50" s="45">
        <f t="shared" si="6"/>
        <v>0.32572992700729925</v>
      </c>
      <c r="O50" s="17">
        <v>0.31426056338028174</v>
      </c>
      <c r="P50" s="22"/>
      <c r="R50" s="7"/>
      <c r="S50" s="7"/>
      <c r="T50" s="7"/>
      <c r="U50" s="7"/>
      <c r="V50" s="7"/>
      <c r="W50" s="7"/>
      <c r="X50" s="7"/>
      <c r="Y50" s="7"/>
    </row>
    <row r="51" spans="1:25" x14ac:dyDescent="0.2">
      <c r="B51" s="7" t="s">
        <v>53</v>
      </c>
      <c r="C51" s="7" t="s">
        <v>61</v>
      </c>
      <c r="D51" s="19">
        <v>11</v>
      </c>
      <c r="E51" s="7" t="s">
        <v>97</v>
      </c>
      <c r="F51" s="53">
        <v>2.23</v>
      </c>
      <c r="G51" s="53">
        <v>2.85</v>
      </c>
      <c r="H51" s="59">
        <f t="shared" si="7"/>
        <v>1.2780269058295965</v>
      </c>
      <c r="I51" s="12">
        <v>1.2435897435897438</v>
      </c>
      <c r="J51" s="7"/>
      <c r="K51" s="25"/>
      <c r="L51" s="1">
        <v>2.74</v>
      </c>
      <c r="M51" s="1">
        <v>0.8610000000000001</v>
      </c>
      <c r="N51" s="45">
        <f t="shared" si="6"/>
        <v>0.31423357664233575</v>
      </c>
      <c r="O51" s="17">
        <v>0.31083032490974732</v>
      </c>
      <c r="P51" s="22"/>
      <c r="R51" s="7"/>
      <c r="S51" s="7"/>
      <c r="T51" s="7"/>
      <c r="U51" s="7"/>
      <c r="V51" s="7"/>
      <c r="W51" s="7"/>
      <c r="X51" s="7"/>
      <c r="Y51" s="7"/>
    </row>
    <row r="52" spans="1:25" x14ac:dyDescent="0.2">
      <c r="B52" s="7" t="s">
        <v>54</v>
      </c>
      <c r="C52" s="7" t="s">
        <v>61</v>
      </c>
      <c r="D52" s="19">
        <v>11</v>
      </c>
      <c r="E52" s="7" t="s">
        <v>97</v>
      </c>
      <c r="F52" s="53">
        <v>2.38</v>
      </c>
      <c r="G52" s="53">
        <v>2.86</v>
      </c>
      <c r="H52" s="59">
        <f t="shared" si="7"/>
        <v>1.2016806722689075</v>
      </c>
      <c r="I52" s="12">
        <v>1.2746781115879828</v>
      </c>
      <c r="J52" s="7"/>
      <c r="K52" s="25"/>
      <c r="L52" s="1">
        <v>2.87</v>
      </c>
      <c r="M52" s="1">
        <v>0.78750000000000009</v>
      </c>
      <c r="N52" s="45">
        <f t="shared" si="6"/>
        <v>0.27439024390243905</v>
      </c>
      <c r="O52" s="17">
        <v>0.28846153846153849</v>
      </c>
      <c r="P52" s="22"/>
      <c r="R52" s="7"/>
      <c r="S52" s="7"/>
      <c r="T52" s="7"/>
      <c r="U52" s="7"/>
      <c r="V52" s="7"/>
      <c r="W52" s="7"/>
      <c r="X52" s="7"/>
      <c r="Y52" s="7"/>
    </row>
    <row r="53" spans="1:25" x14ac:dyDescent="0.2">
      <c r="B53" s="7" t="s">
        <v>55</v>
      </c>
      <c r="C53" s="7" t="s">
        <v>62</v>
      </c>
      <c r="D53" s="19">
        <v>11</v>
      </c>
      <c r="E53" s="7" t="s">
        <v>97</v>
      </c>
      <c r="F53" s="53">
        <v>2.34</v>
      </c>
      <c r="G53" s="53">
        <v>2.95</v>
      </c>
      <c r="H53" s="59">
        <f t="shared" si="7"/>
        <v>1.2606837606837609</v>
      </c>
      <c r="I53" s="12">
        <v>1.2478632478632479</v>
      </c>
      <c r="J53" s="7"/>
      <c r="K53" s="25"/>
      <c r="L53" s="1">
        <v>3.06</v>
      </c>
      <c r="M53" s="1">
        <v>0.8610000000000001</v>
      </c>
      <c r="N53" s="45">
        <f t="shared" si="6"/>
        <v>0.28137254901960784</v>
      </c>
      <c r="O53" s="17">
        <v>0.29486301369863016</v>
      </c>
      <c r="P53" s="22"/>
      <c r="R53" s="7"/>
      <c r="S53" s="7"/>
      <c r="T53" s="7"/>
      <c r="U53" s="7"/>
      <c r="V53" s="7"/>
      <c r="W53" s="7"/>
      <c r="X53" s="7"/>
      <c r="Y53" s="7"/>
    </row>
    <row r="54" spans="1:25" x14ac:dyDescent="0.2">
      <c r="B54" s="7" t="s">
        <v>56</v>
      </c>
      <c r="C54" s="7" t="s">
        <v>62</v>
      </c>
      <c r="D54" s="19">
        <v>11</v>
      </c>
      <c r="E54" s="7" t="s">
        <v>97</v>
      </c>
      <c r="F54" s="53">
        <v>2.4</v>
      </c>
      <c r="G54" s="53">
        <v>3.05</v>
      </c>
      <c r="H54" s="59">
        <f t="shared" si="7"/>
        <v>1.2708333333333333</v>
      </c>
      <c r="I54" s="12"/>
      <c r="J54" s="7"/>
      <c r="K54" s="25"/>
      <c r="L54" s="1">
        <v>2.93</v>
      </c>
      <c r="M54" s="1">
        <v>0.97650000000000003</v>
      </c>
      <c r="N54" s="45">
        <f t="shared" si="6"/>
        <v>0.33327645051194538</v>
      </c>
      <c r="O54" s="17">
        <v>0.34143356643356648</v>
      </c>
      <c r="P54" s="22"/>
      <c r="R54" s="7"/>
      <c r="S54" s="7"/>
      <c r="T54" s="7"/>
      <c r="U54" s="7"/>
      <c r="V54" s="7"/>
      <c r="W54" s="7"/>
      <c r="X54" s="7"/>
      <c r="Y54" s="7"/>
    </row>
    <row r="55" spans="1:25" x14ac:dyDescent="0.2">
      <c r="B55" s="7" t="s">
        <v>57</v>
      </c>
      <c r="C55" s="7" t="s">
        <v>62</v>
      </c>
      <c r="D55" s="19">
        <v>11</v>
      </c>
      <c r="E55" s="7" t="s">
        <v>97</v>
      </c>
      <c r="F55" s="53">
        <v>2.2599999999999998</v>
      </c>
      <c r="G55" s="53">
        <v>2.88</v>
      </c>
      <c r="H55" s="59">
        <f t="shared" si="7"/>
        <v>1.2743362831858407</v>
      </c>
      <c r="I55" s="11">
        <v>1.2297872340425533</v>
      </c>
      <c r="J55" s="7"/>
      <c r="K55" s="25"/>
      <c r="L55" s="1">
        <v>3.18</v>
      </c>
      <c r="M55" s="1">
        <v>0.9870000000000001</v>
      </c>
      <c r="N55" s="45">
        <f t="shared" si="6"/>
        <v>0.31037735849056608</v>
      </c>
      <c r="O55" s="11">
        <v>0.32900000000000001</v>
      </c>
      <c r="P55" s="22"/>
      <c r="R55" s="7"/>
      <c r="S55" s="7"/>
      <c r="T55" s="7"/>
      <c r="U55" s="7"/>
      <c r="V55" s="7"/>
      <c r="W55" s="7"/>
      <c r="X55" s="7"/>
      <c r="Y55" s="7"/>
    </row>
    <row r="56" spans="1:25" ht="17" customHeight="1" x14ac:dyDescent="0.2">
      <c r="W56" s="7"/>
    </row>
    <row r="57" spans="1:25" x14ac:dyDescent="0.2">
      <c r="W57" s="7"/>
    </row>
    <row r="60" spans="1:25" ht="16" x14ac:dyDescent="0.2">
      <c r="B60" s="20" t="s">
        <v>0</v>
      </c>
      <c r="C60" s="20"/>
      <c r="D60" s="20"/>
      <c r="E60" s="20"/>
      <c r="F60" s="56" t="s">
        <v>20</v>
      </c>
      <c r="G60" s="51" t="s">
        <v>26</v>
      </c>
      <c r="H60" s="49" t="s">
        <v>19</v>
      </c>
      <c r="I60" s="11" t="s">
        <v>19</v>
      </c>
      <c r="L60" s="39" t="s">
        <v>35</v>
      </c>
      <c r="M60" s="39" t="s">
        <v>28</v>
      </c>
      <c r="N60" s="39" t="s">
        <v>27</v>
      </c>
      <c r="O60" s="8"/>
      <c r="P60" s="20"/>
      <c r="Q60" s="15"/>
      <c r="R60" s="20"/>
      <c r="T60" s="20"/>
      <c r="V60" s="26"/>
      <c r="X60" s="26"/>
      <c r="Y60" s="26"/>
    </row>
    <row r="61" spans="1:25" x14ac:dyDescent="0.2">
      <c r="A61" s="7" t="s">
        <v>92</v>
      </c>
      <c r="B61" s="7" t="s">
        <v>42</v>
      </c>
      <c r="C61" s="7" t="s">
        <v>61</v>
      </c>
      <c r="D61" s="19">
        <v>11</v>
      </c>
      <c r="E61" s="7" t="s">
        <v>98</v>
      </c>
      <c r="F61" s="53">
        <v>2.4</v>
      </c>
      <c r="G61" s="53">
        <v>3.28</v>
      </c>
      <c r="H61" s="54">
        <f t="shared" ref="H61:H66" si="8">G61/F61</f>
        <v>1.3666666666666667</v>
      </c>
      <c r="I61" s="10">
        <v>1.3571428571428572</v>
      </c>
      <c r="J61" s="7"/>
      <c r="K61" s="23" t="s">
        <v>89</v>
      </c>
      <c r="L61" s="1">
        <v>2.72</v>
      </c>
      <c r="M61" s="1">
        <v>0.69300000000000006</v>
      </c>
      <c r="N61" s="6">
        <f t="shared" ref="N61:N66" si="9">ABS(M61/L61)</f>
        <v>0.25477941176470587</v>
      </c>
      <c r="O61" s="17">
        <v>0.23255033557046981</v>
      </c>
      <c r="P61" s="24"/>
      <c r="Q61" s="7"/>
      <c r="R61" s="7"/>
      <c r="T61" s="7"/>
      <c r="U61" s="7"/>
      <c r="V61" s="7"/>
      <c r="W61" s="7"/>
      <c r="X61" s="7"/>
      <c r="Y61" s="7"/>
    </row>
    <row r="62" spans="1:25" x14ac:dyDescent="0.2">
      <c r="A62" s="7" t="s">
        <v>90</v>
      </c>
      <c r="B62" s="7" t="s">
        <v>43</v>
      </c>
      <c r="C62" s="7" t="s">
        <v>61</v>
      </c>
      <c r="D62" s="19">
        <v>11</v>
      </c>
      <c r="E62" s="7" t="s">
        <v>98</v>
      </c>
      <c r="F62" s="53">
        <v>2.19</v>
      </c>
      <c r="G62" s="53">
        <v>3</v>
      </c>
      <c r="H62" s="54">
        <f t="shared" si="8"/>
        <v>1.3698630136986301</v>
      </c>
      <c r="I62" s="10">
        <v>1.4658119658119659</v>
      </c>
      <c r="J62" s="7"/>
      <c r="K62" s="23" t="s">
        <v>84</v>
      </c>
      <c r="L62" s="1">
        <v>2.94</v>
      </c>
      <c r="M62" s="1">
        <v>0.8610000000000001</v>
      </c>
      <c r="N62" s="6">
        <f t="shared" si="9"/>
        <v>0.29285714285714287</v>
      </c>
      <c r="O62" s="17">
        <v>0.28322368421052635</v>
      </c>
      <c r="P62" s="24"/>
      <c r="Q62" s="7"/>
      <c r="R62" s="7"/>
      <c r="T62" s="7"/>
      <c r="U62" s="7"/>
      <c r="V62" s="7"/>
      <c r="W62" s="7"/>
      <c r="X62" s="7"/>
      <c r="Y62" s="7"/>
    </row>
    <row r="63" spans="1:25" x14ac:dyDescent="0.2">
      <c r="B63" s="7" t="s">
        <v>44</v>
      </c>
      <c r="C63" s="7" t="s">
        <v>61</v>
      </c>
      <c r="D63" s="19">
        <v>11</v>
      </c>
      <c r="E63" s="7" t="s">
        <v>98</v>
      </c>
      <c r="F63" s="53">
        <v>2.27</v>
      </c>
      <c r="G63" s="53">
        <v>3.19</v>
      </c>
      <c r="H63" s="54">
        <f t="shared" si="8"/>
        <v>1.4052863436123348</v>
      </c>
      <c r="I63" s="10">
        <v>1.4618834080717489</v>
      </c>
      <c r="J63" s="7"/>
      <c r="K63" s="23"/>
      <c r="L63" s="1">
        <v>2.85</v>
      </c>
      <c r="M63" s="1">
        <v>0.94500000000000006</v>
      </c>
      <c r="N63" s="6">
        <f t="shared" si="9"/>
        <v>0.33157894736842108</v>
      </c>
      <c r="O63" s="17">
        <v>0.30781758957654726</v>
      </c>
      <c r="P63" s="24"/>
      <c r="Q63" s="7"/>
      <c r="R63" s="7"/>
      <c r="T63" s="7"/>
      <c r="U63" s="7"/>
      <c r="V63" s="7"/>
      <c r="W63" s="7"/>
      <c r="X63" s="7"/>
      <c r="Y63" s="7"/>
    </row>
    <row r="64" spans="1:25" x14ac:dyDescent="0.2">
      <c r="B64" s="7" t="s">
        <v>45</v>
      </c>
      <c r="C64" s="7" t="s">
        <v>62</v>
      </c>
      <c r="D64" s="19">
        <v>11</v>
      </c>
      <c r="E64" s="7" t="s">
        <v>98</v>
      </c>
      <c r="F64" s="53">
        <v>2.48</v>
      </c>
      <c r="G64" s="53">
        <v>3.24</v>
      </c>
      <c r="H64" s="54">
        <f t="shared" si="8"/>
        <v>1.306451612903226</v>
      </c>
      <c r="I64" s="10">
        <v>1.4166666666666667</v>
      </c>
      <c r="J64" s="7"/>
      <c r="K64" s="23"/>
      <c r="L64" s="1">
        <v>3.04</v>
      </c>
      <c r="M64" s="1">
        <v>1.0290000000000001</v>
      </c>
      <c r="N64" s="6">
        <f t="shared" si="9"/>
        <v>0.3384868421052632</v>
      </c>
      <c r="O64" s="17">
        <v>0.36750000000000005</v>
      </c>
      <c r="P64" s="24"/>
      <c r="Q64" s="7"/>
      <c r="R64" s="7"/>
      <c r="T64" s="7"/>
      <c r="U64" s="7"/>
      <c r="V64" s="7"/>
      <c r="W64" s="7"/>
      <c r="X64" s="7"/>
      <c r="Y64" s="7"/>
    </row>
    <row r="65" spans="1:25" x14ac:dyDescent="0.2">
      <c r="B65" s="7" t="s">
        <v>46</v>
      </c>
      <c r="C65" s="7" t="s">
        <v>62</v>
      </c>
      <c r="D65" s="19">
        <v>11</v>
      </c>
      <c r="E65" s="7" t="s">
        <v>98</v>
      </c>
      <c r="F65" s="53">
        <v>2.3199999999999998</v>
      </c>
      <c r="G65" s="53">
        <v>3.11</v>
      </c>
      <c r="H65" s="54">
        <f t="shared" si="8"/>
        <v>1.3405172413793103</v>
      </c>
      <c r="I65" s="10">
        <v>1.45</v>
      </c>
      <c r="J65" s="7"/>
      <c r="K65" s="23"/>
      <c r="L65" s="1">
        <v>2.9</v>
      </c>
      <c r="M65" s="1">
        <v>1.008</v>
      </c>
      <c r="N65" s="6">
        <f t="shared" si="9"/>
        <v>0.34758620689655173</v>
      </c>
      <c r="O65" s="17">
        <v>0.33377483443708611</v>
      </c>
      <c r="P65" s="24"/>
      <c r="Q65" s="7"/>
      <c r="R65" s="7"/>
      <c r="T65" s="7"/>
      <c r="U65" s="7"/>
      <c r="V65" s="7"/>
      <c r="W65" s="7"/>
      <c r="X65" s="7"/>
      <c r="Y65" s="7"/>
    </row>
    <row r="66" spans="1:25" x14ac:dyDescent="0.2">
      <c r="B66" s="7" t="s">
        <v>47</v>
      </c>
      <c r="C66" s="7" t="s">
        <v>62</v>
      </c>
      <c r="D66" s="19">
        <v>11</v>
      </c>
      <c r="E66" s="7" t="s">
        <v>98</v>
      </c>
      <c r="F66" s="53">
        <v>2.48</v>
      </c>
      <c r="G66" s="53">
        <v>3.24</v>
      </c>
      <c r="H66" s="54">
        <f t="shared" si="8"/>
        <v>1.306451612903226</v>
      </c>
      <c r="I66" s="10">
        <v>1.3888888888888891</v>
      </c>
      <c r="J66" s="7"/>
      <c r="K66" s="23"/>
      <c r="L66" s="1">
        <v>3.11</v>
      </c>
      <c r="M66" s="1">
        <v>0.85050000000000003</v>
      </c>
      <c r="N66" s="6">
        <f t="shared" si="9"/>
        <v>0.27347266881028942</v>
      </c>
      <c r="O66" s="17">
        <v>0.27703583061889253</v>
      </c>
      <c r="P66" s="24"/>
      <c r="Q66" s="7"/>
      <c r="R66" s="7"/>
      <c r="T66" s="7"/>
      <c r="U66" s="7"/>
      <c r="V66" s="7"/>
      <c r="W66" s="7"/>
      <c r="X66" s="7"/>
      <c r="Y66" s="7"/>
    </row>
    <row r="71" spans="1:25" ht="16" x14ac:dyDescent="0.2">
      <c r="B71" s="20" t="s">
        <v>0</v>
      </c>
      <c r="C71" s="20"/>
      <c r="D71" s="20"/>
      <c r="E71" s="20"/>
      <c r="F71" s="50" t="s">
        <v>20</v>
      </c>
      <c r="G71" s="50" t="s">
        <v>22</v>
      </c>
      <c r="H71" s="51" t="s">
        <v>19</v>
      </c>
      <c r="I71" s="9" t="s">
        <v>19</v>
      </c>
      <c r="K71" s="20"/>
      <c r="L71" s="39" t="s">
        <v>23</v>
      </c>
      <c r="M71" s="39" t="s">
        <v>58</v>
      </c>
      <c r="N71" s="38" t="s">
        <v>25</v>
      </c>
      <c r="O71" s="8"/>
      <c r="P71" s="20"/>
      <c r="Q71" s="20"/>
      <c r="R71" s="20"/>
      <c r="S71" s="20"/>
      <c r="T71" s="20"/>
      <c r="U71" s="20"/>
      <c r="V71" s="20"/>
      <c r="X71" s="20"/>
      <c r="Y71" s="20"/>
    </row>
    <row r="72" spans="1:25" ht="16" x14ac:dyDescent="0.2">
      <c r="A72" s="7" t="s">
        <v>93</v>
      </c>
      <c r="B72" s="20" t="s">
        <v>14</v>
      </c>
      <c r="C72" s="20" t="s">
        <v>61</v>
      </c>
      <c r="D72" s="20">
        <v>12</v>
      </c>
      <c r="E72" s="7" t="s">
        <v>99</v>
      </c>
      <c r="F72" s="51">
        <v>2.36</v>
      </c>
      <c r="G72" s="51">
        <v>3.01</v>
      </c>
      <c r="H72" s="52">
        <f>G72/F72</f>
        <v>1.2754237288135593</v>
      </c>
      <c r="I72" s="9">
        <v>1.3695652173913044</v>
      </c>
      <c r="J72" s="7"/>
      <c r="K72" s="21" t="s">
        <v>89</v>
      </c>
      <c r="L72" s="40">
        <v>2.88</v>
      </c>
      <c r="M72" s="39">
        <v>0.69299999999999995</v>
      </c>
      <c r="N72" s="41">
        <f>ABS(M72/L72)</f>
        <v>0.24062499999999998</v>
      </c>
      <c r="O72" s="8">
        <v>0.21861198738170345</v>
      </c>
      <c r="P72" s="21"/>
      <c r="Q72" s="20"/>
      <c r="R72" s="28"/>
      <c r="S72" s="20"/>
      <c r="T72" s="20"/>
      <c r="U72" s="20"/>
      <c r="V72" s="20"/>
      <c r="W72" s="7"/>
      <c r="X72" s="20"/>
      <c r="Y72" s="20"/>
    </row>
    <row r="73" spans="1:25" ht="16" x14ac:dyDescent="0.2">
      <c r="A73" s="7" t="s">
        <v>91</v>
      </c>
      <c r="B73" s="20" t="s">
        <v>15</v>
      </c>
      <c r="C73" s="7" t="s">
        <v>61</v>
      </c>
      <c r="D73" s="20">
        <v>12</v>
      </c>
      <c r="E73" s="7" t="s">
        <v>99</v>
      </c>
      <c r="F73" s="51">
        <v>2.31</v>
      </c>
      <c r="G73" s="51">
        <v>3.04</v>
      </c>
      <c r="H73" s="52">
        <f>G73/F73</f>
        <v>1.3160173160173161</v>
      </c>
      <c r="I73" s="9">
        <v>1.3090128755364805</v>
      </c>
      <c r="J73" s="7"/>
      <c r="K73" s="21" t="s">
        <v>85</v>
      </c>
      <c r="L73" s="40">
        <v>2.83</v>
      </c>
      <c r="M73" s="39">
        <v>0.82950000000000002</v>
      </c>
      <c r="N73" s="41">
        <f>ABS(M73/L73)</f>
        <v>0.29310954063604239</v>
      </c>
      <c r="O73" s="8">
        <v>0.27196721311475414</v>
      </c>
      <c r="P73" s="21"/>
      <c r="Q73" s="20"/>
      <c r="R73" s="28"/>
      <c r="S73" s="20"/>
      <c r="T73" s="20"/>
      <c r="U73" s="20"/>
      <c r="V73" s="20"/>
      <c r="W73" s="7"/>
      <c r="X73" s="20"/>
      <c r="Y73" s="20"/>
    </row>
    <row r="74" spans="1:25" ht="16" x14ac:dyDescent="0.2">
      <c r="B74" s="20" t="s">
        <v>16</v>
      </c>
      <c r="C74" s="20" t="s">
        <v>61</v>
      </c>
      <c r="D74" s="20">
        <v>12</v>
      </c>
      <c r="E74" s="7" t="s">
        <v>99</v>
      </c>
      <c r="F74" s="51">
        <v>2.37</v>
      </c>
      <c r="G74" s="51">
        <v>3.02</v>
      </c>
      <c r="H74" s="52">
        <f>G74/F74</f>
        <v>1.2742616033755274</v>
      </c>
      <c r="I74" s="9">
        <v>1.3160173160173161</v>
      </c>
      <c r="J74" s="7"/>
      <c r="K74" s="21"/>
      <c r="L74" s="40">
        <v>2.77</v>
      </c>
      <c r="M74" s="1">
        <v>0.82950000000000002</v>
      </c>
      <c r="N74" s="41">
        <f>ABS(M74/L74)</f>
        <v>0.29945848375451262</v>
      </c>
      <c r="O74" s="8">
        <v>0.30496323529411762</v>
      </c>
      <c r="P74" s="21"/>
      <c r="Q74" s="20"/>
      <c r="R74" s="28"/>
      <c r="S74" s="20"/>
      <c r="T74" s="20"/>
      <c r="U74" s="20"/>
      <c r="V74" s="20"/>
      <c r="W74" s="7"/>
      <c r="X74" s="20"/>
      <c r="Y74" s="20"/>
    </row>
    <row r="75" spans="1:25" ht="16" x14ac:dyDescent="0.2">
      <c r="B75" s="20" t="s">
        <v>17</v>
      </c>
      <c r="C75" s="7" t="s">
        <v>61</v>
      </c>
      <c r="D75" s="20">
        <v>12</v>
      </c>
      <c r="E75" s="7" t="s">
        <v>99</v>
      </c>
      <c r="F75" s="51">
        <v>2.33</v>
      </c>
      <c r="G75" s="51">
        <v>3.16</v>
      </c>
      <c r="H75" s="52">
        <f>G75/F75</f>
        <v>1.3562231759656653</v>
      </c>
      <c r="I75" s="9">
        <v>1.3506493506493507</v>
      </c>
      <c r="J75" s="7"/>
      <c r="K75" s="21"/>
      <c r="L75" s="40">
        <v>2.81</v>
      </c>
      <c r="M75" s="39">
        <v>0.8610000000000001</v>
      </c>
      <c r="N75" s="41">
        <f>ABS(M75/L75)</f>
        <v>0.30640569395017797</v>
      </c>
      <c r="O75" s="8">
        <v>0.28604651162790701</v>
      </c>
      <c r="P75" s="21"/>
      <c r="Q75" s="20"/>
      <c r="R75" s="28"/>
      <c r="S75" s="20"/>
      <c r="T75" s="20"/>
      <c r="U75" s="20"/>
      <c r="V75" s="20"/>
      <c r="W75" s="7"/>
      <c r="X75" s="20"/>
      <c r="Y75" s="20"/>
    </row>
    <row r="76" spans="1:25" ht="16" x14ac:dyDescent="0.2">
      <c r="B76" s="20" t="s">
        <v>18</v>
      </c>
      <c r="C76" s="20" t="s">
        <v>61</v>
      </c>
      <c r="D76" s="20">
        <v>12</v>
      </c>
      <c r="E76" s="7" t="s">
        <v>99</v>
      </c>
      <c r="F76" s="51">
        <v>2.38</v>
      </c>
      <c r="G76" s="51">
        <v>3.33</v>
      </c>
      <c r="H76" s="52">
        <f>G76/F76</f>
        <v>1.3991596638655464</v>
      </c>
      <c r="I76" s="11">
        <v>1.3516949152542372</v>
      </c>
      <c r="J76" s="7"/>
      <c r="K76" s="21"/>
      <c r="L76" s="40">
        <v>2.94</v>
      </c>
      <c r="M76" s="39">
        <v>0.75600000000000001</v>
      </c>
      <c r="N76" s="41">
        <f>ABS(M76/L76)</f>
        <v>0.25714285714285717</v>
      </c>
      <c r="O76" s="11">
        <v>0.24153354632587862</v>
      </c>
      <c r="P76" s="21"/>
      <c r="Q76" s="20"/>
      <c r="R76" s="28"/>
      <c r="S76" s="20"/>
      <c r="T76" s="20"/>
      <c r="U76" s="20"/>
      <c r="V76" s="20"/>
      <c r="W76" s="7"/>
      <c r="X76" s="20"/>
      <c r="Y76" s="20"/>
    </row>
    <row r="79" spans="1:25" ht="16" x14ac:dyDescent="0.2">
      <c r="B79" s="20"/>
      <c r="C79" s="20"/>
      <c r="D79" s="20"/>
      <c r="E79" s="20"/>
      <c r="F79" s="50"/>
      <c r="G79" s="50"/>
      <c r="H79" s="50"/>
      <c r="I79" s="36"/>
      <c r="K79" s="20"/>
      <c r="L79" s="46"/>
      <c r="M79" s="46"/>
      <c r="N79" s="46"/>
      <c r="O79" s="8"/>
      <c r="P79" s="20"/>
      <c r="Q79" s="20"/>
      <c r="R79" s="20"/>
      <c r="S79" s="20"/>
      <c r="T79" s="20"/>
      <c r="U79" s="20"/>
      <c r="V79" s="20"/>
      <c r="X79" s="20"/>
      <c r="Y79" s="20"/>
    </row>
    <row r="81" spans="1:21" customFormat="1" ht="16" x14ac:dyDescent="0.2">
      <c r="A81" s="7"/>
      <c r="B81" s="20"/>
      <c r="C81" s="20"/>
      <c r="D81" s="19"/>
      <c r="E81" s="19"/>
      <c r="F81" s="56"/>
      <c r="G81" s="56"/>
      <c r="H81" s="56"/>
      <c r="I81" s="37"/>
      <c r="K81" s="19"/>
      <c r="L81" s="47"/>
      <c r="M81" s="47"/>
      <c r="N81" s="47"/>
      <c r="O81" s="8"/>
      <c r="P81" s="20"/>
      <c r="Q81" s="19"/>
      <c r="R81" s="20"/>
      <c r="S81" s="30"/>
      <c r="T81" s="20"/>
      <c r="U81" s="30"/>
    </row>
    <row r="82" spans="1:21" customFormat="1" x14ac:dyDescent="0.2">
      <c r="A82" s="7"/>
      <c r="D82" s="19"/>
      <c r="E82" s="19"/>
      <c r="F82" s="60"/>
      <c r="G82" s="60"/>
      <c r="H82" s="61"/>
      <c r="I82" s="13"/>
      <c r="K82" s="25"/>
      <c r="L82" s="1"/>
      <c r="M82" s="48"/>
      <c r="N82" s="45"/>
      <c r="O82" s="18"/>
      <c r="P82" s="31"/>
      <c r="Q82" s="19"/>
    </row>
    <row r="83" spans="1:21" customFormat="1" x14ac:dyDescent="0.2">
      <c r="A83" s="7"/>
      <c r="D83" s="19"/>
      <c r="E83" s="19"/>
      <c r="F83" s="60"/>
      <c r="G83" s="60"/>
      <c r="H83" s="61"/>
      <c r="I83" s="13"/>
      <c r="K83" s="25"/>
      <c r="L83" s="1"/>
      <c r="M83" s="48"/>
      <c r="N83" s="45"/>
      <c r="O83" s="18"/>
      <c r="P83" s="31"/>
      <c r="Q83" s="19"/>
    </row>
    <row r="84" spans="1:21" customFormat="1" x14ac:dyDescent="0.2">
      <c r="A84" s="7"/>
      <c r="D84" s="19"/>
      <c r="E84" s="19"/>
      <c r="F84" s="60"/>
      <c r="G84" s="60"/>
      <c r="H84" s="61"/>
      <c r="I84" s="13"/>
      <c r="K84" s="25"/>
      <c r="L84" s="1"/>
      <c r="M84" s="48"/>
      <c r="N84" s="45"/>
      <c r="O84" s="18"/>
      <c r="P84" s="31"/>
      <c r="Q84" s="19"/>
    </row>
    <row r="85" spans="1:21" customFormat="1" x14ac:dyDescent="0.2">
      <c r="A85" s="7"/>
      <c r="D85" s="19"/>
      <c r="E85" s="19"/>
      <c r="F85" s="60"/>
      <c r="G85" s="60"/>
      <c r="H85" s="61"/>
      <c r="I85" s="13"/>
      <c r="K85" s="25"/>
      <c r="L85" s="1"/>
      <c r="M85" s="48"/>
      <c r="N85" s="45"/>
      <c r="O85" s="18"/>
      <c r="P85" s="31"/>
      <c r="Q85" s="19"/>
    </row>
    <row r="86" spans="1:21" customFormat="1" x14ac:dyDescent="0.2">
      <c r="A86" s="7"/>
      <c r="D86" s="19"/>
      <c r="E86" s="19"/>
      <c r="F86" s="60"/>
      <c r="G86" s="60"/>
      <c r="H86" s="61"/>
      <c r="I86" s="13"/>
      <c r="K86" s="25"/>
      <c r="L86" s="1"/>
      <c r="M86" s="48"/>
      <c r="N86" s="45"/>
      <c r="O86" s="18"/>
      <c r="P86" s="31"/>
      <c r="Q86" s="19"/>
    </row>
    <row r="87" spans="1:21" customFormat="1" x14ac:dyDescent="0.2">
      <c r="A87" s="7"/>
      <c r="D87" s="19"/>
      <c r="E87" s="19"/>
      <c r="F87" s="60"/>
      <c r="G87" s="60"/>
      <c r="H87" s="61"/>
      <c r="I87" s="13"/>
      <c r="K87" s="25"/>
      <c r="L87" s="1"/>
      <c r="M87" s="48"/>
      <c r="N87" s="45"/>
      <c r="O87" s="18"/>
      <c r="P87" s="31"/>
      <c r="Q87" s="1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640D-973F-C84C-BFAC-6B0C8F4CE55D}">
  <dimension ref="A1:S29"/>
  <sheetViews>
    <sheetView topLeftCell="A12" zoomScale="194" workbookViewId="0">
      <selection activeCell="F13" sqref="F13"/>
    </sheetView>
  </sheetViews>
  <sheetFormatPr baseColWidth="10" defaultColWidth="9.1640625" defaultRowHeight="15" x14ac:dyDescent="0.2"/>
  <cols>
    <col min="1" max="1" width="9.1640625" style="7"/>
    <col min="2" max="2" width="15.6640625" style="7" customWidth="1"/>
    <col min="3" max="4" width="11.33203125" style="7" customWidth="1"/>
    <col min="5" max="5" width="18.83203125" style="2" customWidth="1"/>
    <col min="6" max="6" width="21" style="2" customWidth="1"/>
    <col min="7" max="7" width="19.5" style="2" customWidth="1"/>
    <col min="8" max="8" width="14" style="18" customWidth="1"/>
    <col min="10" max="10" width="15.6640625" style="7" customWidth="1"/>
    <col min="12" max="14" width="15.6640625" style="1" customWidth="1"/>
    <col min="15" max="15" width="15.6640625" style="17" customWidth="1"/>
    <col min="16" max="25" width="15.6640625" style="7" customWidth="1"/>
    <col min="26" max="16384" width="9.1640625" style="7"/>
  </cols>
  <sheetData>
    <row r="1" spans="1:19" x14ac:dyDescent="0.2">
      <c r="H1" s="18" t="s">
        <v>102</v>
      </c>
      <c r="O1" s="17" t="s">
        <v>101</v>
      </c>
    </row>
    <row r="2" spans="1:19" x14ac:dyDescent="0.2">
      <c r="G2" s="2" t="s">
        <v>24</v>
      </c>
      <c r="H2" s="17" t="s">
        <v>100</v>
      </c>
      <c r="M2" s="1" t="s">
        <v>82</v>
      </c>
      <c r="N2" s="1" t="s">
        <v>83</v>
      </c>
      <c r="O2" s="17" t="s">
        <v>100</v>
      </c>
    </row>
    <row r="3" spans="1:19" ht="16" x14ac:dyDescent="0.2">
      <c r="B3" s="14" t="s">
        <v>0</v>
      </c>
      <c r="C3" s="20" t="s">
        <v>51</v>
      </c>
      <c r="D3" s="20" t="s">
        <v>96</v>
      </c>
      <c r="E3" s="4" t="s">
        <v>20</v>
      </c>
      <c r="F3" s="3" t="s">
        <v>26</v>
      </c>
      <c r="G3" s="4" t="s">
        <v>19</v>
      </c>
      <c r="H3" s="18" t="s">
        <v>19</v>
      </c>
      <c r="J3" s="14"/>
      <c r="L3" s="5" t="s">
        <v>79</v>
      </c>
      <c r="M3" s="5" t="s">
        <v>80</v>
      </c>
      <c r="N3" s="5" t="s">
        <v>81</v>
      </c>
      <c r="O3" s="8" t="s">
        <v>81</v>
      </c>
      <c r="P3" s="16"/>
      <c r="Q3" s="16"/>
      <c r="R3" s="16"/>
      <c r="S3" s="16"/>
    </row>
    <row r="4" spans="1:19" x14ac:dyDescent="0.2">
      <c r="A4" s="7" t="s">
        <v>86</v>
      </c>
      <c r="B4" s="7" t="s">
        <v>63</v>
      </c>
      <c r="C4" s="7" t="s">
        <v>62</v>
      </c>
      <c r="D4" s="7">
        <v>5</v>
      </c>
      <c r="E4" s="2">
        <v>2.33</v>
      </c>
      <c r="F4" s="2">
        <v>2.68</v>
      </c>
      <c r="G4" s="32">
        <f>F4/E4</f>
        <v>1.150214592274678</v>
      </c>
      <c r="H4" s="18">
        <v>1.1853448275862071</v>
      </c>
      <c r="J4" s="7" t="s">
        <v>63</v>
      </c>
      <c r="L4" s="1">
        <v>2.66</v>
      </c>
      <c r="M4" s="1">
        <v>0.78750000000000009</v>
      </c>
      <c r="N4" s="6">
        <f t="shared" ref="N4:N11" si="0">ABS(M4/L4)</f>
        <v>0.2960526315789474</v>
      </c>
      <c r="O4" s="17">
        <v>0.27155172413793105</v>
      </c>
    </row>
    <row r="5" spans="1:19" x14ac:dyDescent="0.2">
      <c r="A5" s="7" t="s">
        <v>94</v>
      </c>
      <c r="B5" s="7" t="s">
        <v>64</v>
      </c>
      <c r="C5" s="7" t="s">
        <v>62</v>
      </c>
      <c r="D5" s="7">
        <v>5</v>
      </c>
      <c r="E5" s="2">
        <v>2.2999999999999998</v>
      </c>
      <c r="F5" s="2">
        <v>2.78</v>
      </c>
      <c r="G5" s="32">
        <f t="shared" ref="G5:G11" si="1">F5/E5</f>
        <v>1.2086956521739129</v>
      </c>
      <c r="H5" s="18">
        <v>1.2785388127853881</v>
      </c>
      <c r="J5" s="7" t="s">
        <v>64</v>
      </c>
      <c r="L5" s="1">
        <v>2.76</v>
      </c>
      <c r="M5" s="1">
        <v>0.92400000000000004</v>
      </c>
      <c r="N5" s="6">
        <f t="shared" si="0"/>
        <v>0.33478260869565224</v>
      </c>
      <c r="O5" s="17">
        <v>0.33478260869565224</v>
      </c>
    </row>
    <row r="6" spans="1:19" x14ac:dyDescent="0.2">
      <c r="B6" s="7" t="s">
        <v>65</v>
      </c>
      <c r="C6" s="7" t="s">
        <v>62</v>
      </c>
      <c r="D6" s="7">
        <v>5</v>
      </c>
      <c r="E6" s="2">
        <v>2.29</v>
      </c>
      <c r="F6" s="2">
        <v>2.67</v>
      </c>
      <c r="G6" s="32">
        <f t="shared" si="1"/>
        <v>1.1659388646288209</v>
      </c>
      <c r="H6" s="18">
        <v>1.2358078602620088</v>
      </c>
      <c r="J6" s="7" t="s">
        <v>65</v>
      </c>
      <c r="L6" s="1">
        <v>2.92</v>
      </c>
      <c r="M6" s="1">
        <v>0.8085</v>
      </c>
      <c r="N6" s="6">
        <f t="shared" si="0"/>
        <v>0.2768835616438356</v>
      </c>
      <c r="O6" s="17">
        <v>0.30858778625954197</v>
      </c>
    </row>
    <row r="7" spans="1:19" x14ac:dyDescent="0.2">
      <c r="B7" s="7" t="s">
        <v>66</v>
      </c>
      <c r="C7" s="7" t="s">
        <v>62</v>
      </c>
      <c r="D7" s="7">
        <v>5</v>
      </c>
      <c r="E7" s="2">
        <v>2.25</v>
      </c>
      <c r="F7" s="2">
        <v>2.81</v>
      </c>
      <c r="G7" s="32">
        <f t="shared" si="1"/>
        <v>1.2488888888888889</v>
      </c>
      <c r="H7" s="18">
        <v>1.1983122362869196</v>
      </c>
      <c r="J7" s="7" t="s">
        <v>66</v>
      </c>
      <c r="L7" s="1">
        <v>2.77</v>
      </c>
      <c r="M7" s="1">
        <v>0.87150000000000005</v>
      </c>
      <c r="N7" s="6">
        <f t="shared" si="0"/>
        <v>0.31462093862815887</v>
      </c>
      <c r="O7" s="17">
        <v>0.32640449438202251</v>
      </c>
    </row>
    <row r="8" spans="1:19" x14ac:dyDescent="0.2">
      <c r="B8" s="7" t="s">
        <v>67</v>
      </c>
      <c r="C8" s="7" t="s">
        <v>62</v>
      </c>
      <c r="D8" s="7">
        <v>5</v>
      </c>
      <c r="E8" s="2">
        <v>2.37</v>
      </c>
      <c r="F8" s="2">
        <v>2.72</v>
      </c>
      <c r="G8" s="32">
        <f t="shared" si="1"/>
        <v>1.1476793248945147</v>
      </c>
      <c r="H8" s="18">
        <v>1.2086956521739129</v>
      </c>
      <c r="J8" s="7" t="s">
        <v>67</v>
      </c>
      <c r="L8" s="1">
        <v>2.67</v>
      </c>
      <c r="M8" s="1">
        <v>0.7350000000000001</v>
      </c>
      <c r="N8" s="6">
        <f t="shared" si="0"/>
        <v>0.27528089887640456</v>
      </c>
      <c r="O8" s="17">
        <v>0.2816091954022989</v>
      </c>
    </row>
    <row r="9" spans="1:19" x14ac:dyDescent="0.2">
      <c r="B9" s="7" t="s">
        <v>68</v>
      </c>
      <c r="C9" s="7" t="s">
        <v>62</v>
      </c>
      <c r="D9" s="7">
        <v>5</v>
      </c>
      <c r="E9" s="2">
        <v>2.25</v>
      </c>
      <c r="F9" s="2">
        <v>2.84</v>
      </c>
      <c r="G9" s="32">
        <f t="shared" si="1"/>
        <v>1.2622222222222221</v>
      </c>
      <c r="H9" s="18">
        <v>1.2767857142857142</v>
      </c>
      <c r="J9" s="7" t="s">
        <v>68</v>
      </c>
      <c r="L9" s="1">
        <v>2.81</v>
      </c>
      <c r="M9" s="1">
        <v>0.91350000000000009</v>
      </c>
      <c r="N9" s="6">
        <f t="shared" si="0"/>
        <v>0.32508896797153025</v>
      </c>
      <c r="O9" s="17">
        <v>0.32625000000000004</v>
      </c>
    </row>
    <row r="10" spans="1:19" x14ac:dyDescent="0.2">
      <c r="B10" s="7" t="s">
        <v>69</v>
      </c>
      <c r="C10" s="7" t="s">
        <v>62</v>
      </c>
      <c r="D10" s="7">
        <v>5</v>
      </c>
      <c r="E10" s="2">
        <v>2.3199999999999998</v>
      </c>
      <c r="F10" s="2">
        <v>2.86</v>
      </c>
      <c r="G10" s="32">
        <f t="shared" si="1"/>
        <v>1.2327586206896552</v>
      </c>
      <c r="H10" s="18">
        <v>1.2083333333333333</v>
      </c>
      <c r="J10" s="7" t="s">
        <v>69</v>
      </c>
      <c r="L10" s="1">
        <v>2.89</v>
      </c>
      <c r="M10" s="1">
        <v>0.92400000000000004</v>
      </c>
      <c r="N10" s="6">
        <f t="shared" si="0"/>
        <v>0.31972318339100347</v>
      </c>
      <c r="O10" s="17">
        <v>0.34606741573033711</v>
      </c>
    </row>
    <row r="11" spans="1:19" x14ac:dyDescent="0.2">
      <c r="B11" s="7" t="s">
        <v>70</v>
      </c>
      <c r="C11" s="7" t="s">
        <v>62</v>
      </c>
      <c r="D11" s="7">
        <v>5</v>
      </c>
      <c r="E11" s="2">
        <v>2.36</v>
      </c>
      <c r="F11" s="2">
        <v>2.89</v>
      </c>
      <c r="G11" s="32">
        <f t="shared" si="1"/>
        <v>1.2245762711864407</v>
      </c>
      <c r="H11" s="18">
        <v>1.232067510548523</v>
      </c>
      <c r="J11" s="7" t="s">
        <v>70</v>
      </c>
      <c r="L11" s="1">
        <v>2.65</v>
      </c>
      <c r="M11" s="1">
        <v>0.82950000000000002</v>
      </c>
      <c r="N11" s="6">
        <f t="shared" si="0"/>
        <v>0.31301886792452832</v>
      </c>
      <c r="O11" s="17">
        <v>0.3095149253731343</v>
      </c>
    </row>
    <row r="12" spans="1:19" x14ac:dyDescent="0.2">
      <c r="G12" s="32"/>
      <c r="N12" s="6"/>
    </row>
    <row r="13" spans="1:19" x14ac:dyDescent="0.2">
      <c r="G13" s="32"/>
      <c r="N13" s="6"/>
    </row>
    <row r="14" spans="1:19" x14ac:dyDescent="0.2">
      <c r="G14" s="32"/>
      <c r="N14" s="6"/>
    </row>
    <row r="15" spans="1:19" x14ac:dyDescent="0.2">
      <c r="G15" s="32"/>
      <c r="N15" s="6"/>
    </row>
    <row r="16" spans="1:19" x14ac:dyDescent="0.2">
      <c r="G16" s="32"/>
      <c r="N16" s="6"/>
    </row>
    <row r="17" spans="1:15" x14ac:dyDescent="0.2">
      <c r="A17" s="7" t="s">
        <v>87</v>
      </c>
      <c r="B17" s="7" t="s">
        <v>71</v>
      </c>
      <c r="C17" s="7" t="s">
        <v>62</v>
      </c>
      <c r="D17" s="7">
        <v>28</v>
      </c>
      <c r="E17" s="2">
        <v>2.33</v>
      </c>
      <c r="F17" s="2">
        <v>3.12</v>
      </c>
      <c r="G17" s="32">
        <f>F17/E17</f>
        <v>1.3390557939914163</v>
      </c>
      <c r="H17" s="18">
        <v>1.3663793103448276</v>
      </c>
      <c r="J17" s="7" t="s">
        <v>71</v>
      </c>
      <c r="L17" s="1">
        <v>2.78</v>
      </c>
      <c r="M17" s="1">
        <v>0.72450000000000003</v>
      </c>
      <c r="N17" s="6">
        <f t="shared" ref="N17:N24" si="2">ABS(M17/L17)</f>
        <v>0.26061151079136696</v>
      </c>
      <c r="O17" s="17">
        <v>0.26345454545454544</v>
      </c>
    </row>
    <row r="18" spans="1:15" x14ac:dyDescent="0.2">
      <c r="B18" s="7" t="s">
        <v>72</v>
      </c>
      <c r="C18" s="7" t="s">
        <v>62</v>
      </c>
      <c r="D18" s="7">
        <v>28</v>
      </c>
      <c r="E18" s="2">
        <v>2.2599999999999998</v>
      </c>
      <c r="F18" s="2">
        <v>3.28</v>
      </c>
      <c r="G18" s="32">
        <f t="shared" ref="G18:G24" si="3">F18/E18</f>
        <v>1.4513274336283186</v>
      </c>
      <c r="H18" s="18">
        <v>1.4385964912280702</v>
      </c>
      <c r="J18" s="7" t="s">
        <v>72</v>
      </c>
      <c r="L18" s="1">
        <v>2.9</v>
      </c>
      <c r="M18" s="1">
        <v>0.65100000000000002</v>
      </c>
      <c r="N18" s="6">
        <f t="shared" si="2"/>
        <v>0.22448275862068967</v>
      </c>
      <c r="O18" s="17">
        <v>0.23672727272727273</v>
      </c>
    </row>
    <row r="19" spans="1:15" x14ac:dyDescent="0.2">
      <c r="A19" s="7" t="s">
        <v>95</v>
      </c>
      <c r="B19" s="7" t="s">
        <v>73</v>
      </c>
      <c r="C19" s="7" t="s">
        <v>62</v>
      </c>
      <c r="D19" s="7">
        <v>28</v>
      </c>
      <c r="E19" s="2">
        <v>2.4700000000000002</v>
      </c>
      <c r="F19" s="2">
        <v>3.38</v>
      </c>
      <c r="G19" s="32">
        <f t="shared" si="3"/>
        <v>1.3684210526315788</v>
      </c>
      <c r="H19" s="18">
        <v>1.378048780487805</v>
      </c>
      <c r="J19" s="7" t="s">
        <v>73</v>
      </c>
      <c r="L19" s="1">
        <v>3.42</v>
      </c>
      <c r="M19" s="1">
        <v>0.88200000000000001</v>
      </c>
      <c r="N19" s="6">
        <f t="shared" si="2"/>
        <v>0.25789473684210529</v>
      </c>
      <c r="O19" s="17">
        <v>0.28360128617363345</v>
      </c>
    </row>
    <row r="20" spans="1:15" x14ac:dyDescent="0.2">
      <c r="B20" s="7" t="s">
        <v>74</v>
      </c>
      <c r="C20" s="7" t="s">
        <v>62</v>
      </c>
      <c r="D20" s="7">
        <v>28</v>
      </c>
      <c r="E20" s="2">
        <v>2.52</v>
      </c>
      <c r="F20" s="2">
        <v>3.28</v>
      </c>
      <c r="G20" s="32">
        <f t="shared" si="3"/>
        <v>1.3015873015873014</v>
      </c>
      <c r="H20" s="18">
        <v>1.3360323886639673</v>
      </c>
      <c r="J20" s="7" t="s">
        <v>74</v>
      </c>
      <c r="L20" s="1">
        <v>2.91</v>
      </c>
      <c r="M20" s="1">
        <v>0.85050000000000003</v>
      </c>
      <c r="N20" s="6">
        <f t="shared" si="2"/>
        <v>0.29226804123711342</v>
      </c>
      <c r="O20" s="17">
        <v>0.28636363636363638</v>
      </c>
    </row>
    <row r="21" spans="1:15" x14ac:dyDescent="0.2">
      <c r="B21" s="7" t="s">
        <v>75</v>
      </c>
      <c r="C21" s="7" t="s">
        <v>62</v>
      </c>
      <c r="D21" s="7">
        <v>28</v>
      </c>
      <c r="E21" s="2">
        <v>2.2400000000000002</v>
      </c>
      <c r="F21" s="2">
        <v>3.04</v>
      </c>
      <c r="G21" s="32">
        <f t="shared" si="3"/>
        <v>1.357142857142857</v>
      </c>
      <c r="H21" s="18">
        <v>1.3421052631578949</v>
      </c>
      <c r="J21" s="7" t="s">
        <v>75</v>
      </c>
      <c r="L21" s="1">
        <v>2.82</v>
      </c>
      <c r="M21" s="1">
        <v>0.75600000000000001</v>
      </c>
      <c r="N21" s="6">
        <f t="shared" si="2"/>
        <v>0.26808510638297872</v>
      </c>
      <c r="O21" s="17">
        <v>0.25714285714285717</v>
      </c>
    </row>
    <row r="22" spans="1:15" x14ac:dyDescent="0.2">
      <c r="B22" s="7" t="s">
        <v>76</v>
      </c>
      <c r="C22" s="7" t="s">
        <v>62</v>
      </c>
      <c r="D22" s="7">
        <v>28</v>
      </c>
      <c r="E22" s="2">
        <v>2.35</v>
      </c>
      <c r="F22" s="2">
        <v>3.13</v>
      </c>
      <c r="G22" s="32">
        <f t="shared" si="3"/>
        <v>1.3319148936170211</v>
      </c>
      <c r="H22" s="18">
        <v>1.277310924369748</v>
      </c>
      <c r="J22" s="7" t="s">
        <v>76</v>
      </c>
      <c r="L22" s="1">
        <v>2.96</v>
      </c>
      <c r="M22" s="1">
        <v>0.89250000000000007</v>
      </c>
      <c r="N22" s="6">
        <f t="shared" si="2"/>
        <v>0.30152027027027029</v>
      </c>
      <c r="O22" s="17">
        <v>0.29750000000000004</v>
      </c>
    </row>
    <row r="23" spans="1:15" x14ac:dyDescent="0.2">
      <c r="B23" s="7" t="s">
        <v>77</v>
      </c>
      <c r="C23" s="7" t="s">
        <v>62</v>
      </c>
      <c r="D23" s="7">
        <v>28</v>
      </c>
      <c r="E23" s="2">
        <v>2.2599999999999998</v>
      </c>
      <c r="F23" s="2">
        <v>3.57</v>
      </c>
      <c r="G23" s="32">
        <f t="shared" si="3"/>
        <v>1.5796460176991152</v>
      </c>
      <c r="H23" s="18">
        <v>1.8061674008810571</v>
      </c>
      <c r="J23" s="7" t="s">
        <v>77</v>
      </c>
      <c r="L23" s="1">
        <v>2.86</v>
      </c>
      <c r="M23" s="1">
        <v>0.6825</v>
      </c>
      <c r="N23" s="6">
        <f t="shared" si="2"/>
        <v>0.23863636363636365</v>
      </c>
      <c r="O23" s="17">
        <v>0.220873786407767</v>
      </c>
    </row>
    <row r="24" spans="1:15" x14ac:dyDescent="0.2">
      <c r="B24" s="7" t="s">
        <v>78</v>
      </c>
      <c r="C24" s="7" t="s">
        <v>62</v>
      </c>
      <c r="D24" s="7">
        <v>28</v>
      </c>
      <c r="E24" s="2">
        <v>2.19</v>
      </c>
      <c r="F24" s="2">
        <v>3</v>
      </c>
      <c r="G24" s="32">
        <f t="shared" si="3"/>
        <v>1.3698630136986301</v>
      </c>
      <c r="H24" s="18">
        <v>1.834710743801653</v>
      </c>
      <c r="J24" s="7" t="s">
        <v>78</v>
      </c>
      <c r="L24" s="1">
        <v>3.12</v>
      </c>
      <c r="M24" s="1">
        <v>0.69300000000000006</v>
      </c>
      <c r="N24" s="6">
        <f t="shared" si="2"/>
        <v>0.22211538461538463</v>
      </c>
      <c r="O24" s="17">
        <v>0.22500000000000001</v>
      </c>
    </row>
    <row r="25" spans="1:15" x14ac:dyDescent="0.2">
      <c r="G25" s="32"/>
      <c r="N25" s="6"/>
    </row>
    <row r="26" spans="1:15" x14ac:dyDescent="0.2">
      <c r="G26" s="32"/>
      <c r="N26" s="6"/>
    </row>
    <row r="27" spans="1:15" x14ac:dyDescent="0.2">
      <c r="G27" s="32"/>
      <c r="N27" s="6"/>
    </row>
    <row r="28" spans="1:15" x14ac:dyDescent="0.2">
      <c r="G28" s="32"/>
      <c r="N28" s="6"/>
    </row>
    <row r="29" spans="1:15" x14ac:dyDescent="0.2">
      <c r="G29" s="32"/>
      <c r="N29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Mint OA6,8 MMS</vt:lpstr>
      <vt:lpstr>Mint OA-7 aged</vt:lpstr>
    </vt:vector>
  </TitlesOfParts>
  <Company>URMC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Churou</dc:creator>
  <cp:lastModifiedBy>Zhenqiang Yao</cp:lastModifiedBy>
  <dcterms:created xsi:type="dcterms:W3CDTF">2023-07-26T20:00:33Z</dcterms:created>
  <dcterms:modified xsi:type="dcterms:W3CDTF">2026-01-17T05:15:46Z</dcterms:modified>
</cp:coreProperties>
</file>